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wayne\Desktop\"/>
    </mc:Choice>
  </mc:AlternateContent>
  <bookViews>
    <workbookView xWindow="0" yWindow="0" windowWidth="17235" windowHeight="7680"/>
  </bookViews>
  <sheets>
    <sheet name="Employee View" sheetId="5" r:id="rId1"/>
    <sheet name="Data" sheetId="6" r:id="rId2"/>
    <sheet name="Notes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6" l="1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J28" i="6"/>
  <c r="D25" i="5" s="1"/>
  <c r="D32" i="5" l="1"/>
  <c r="D31" i="5"/>
  <c r="D30" i="5"/>
  <c r="D29" i="5"/>
  <c r="D28" i="5"/>
  <c r="D27" i="5"/>
  <c r="D26" i="5"/>
  <c r="J26" i="6"/>
  <c r="J24" i="6"/>
  <c r="M33" i="6"/>
  <c r="J33" i="6"/>
  <c r="L33" i="6"/>
  <c r="K33" i="6"/>
  <c r="I33" i="6"/>
  <c r="H33" i="6"/>
  <c r="G33" i="6"/>
  <c r="N30" i="6" l="1"/>
  <c r="M30" i="6"/>
  <c r="L30" i="6"/>
  <c r="J7" i="6" s="1"/>
  <c r="J13" i="6" l="1"/>
  <c r="I38" i="6"/>
  <c r="I39" i="6"/>
  <c r="I47" i="6"/>
  <c r="I55" i="6"/>
  <c r="I63" i="6"/>
  <c r="I49" i="6"/>
  <c r="I57" i="6"/>
  <c r="I50" i="6"/>
  <c r="I51" i="6"/>
  <c r="I67" i="6"/>
  <c r="I44" i="6"/>
  <c r="I60" i="6"/>
  <c r="I45" i="6"/>
  <c r="I61" i="6"/>
  <c r="I54" i="6"/>
  <c r="I40" i="6"/>
  <c r="I48" i="6"/>
  <c r="I56" i="6"/>
  <c r="I64" i="6"/>
  <c r="I41" i="6"/>
  <c r="I65" i="6"/>
  <c r="I42" i="6"/>
  <c r="I58" i="6"/>
  <c r="I66" i="6"/>
  <c r="I43" i="6"/>
  <c r="I59" i="6"/>
  <c r="I52" i="6"/>
  <c r="I53" i="6"/>
  <c r="I46" i="6"/>
  <c r="I62" i="6"/>
  <c r="J9" i="6"/>
  <c r="E66" i="6"/>
  <c r="E64" i="6"/>
  <c r="E65" i="6"/>
  <c r="E67" i="6"/>
  <c r="J10" i="6"/>
  <c r="E38" i="6" s="1"/>
  <c r="I5" i="6"/>
  <c r="J16" i="6" s="1"/>
  <c r="J8" i="6"/>
  <c r="H5" i="6"/>
  <c r="J5" i="6"/>
  <c r="J15" i="6" l="1"/>
  <c r="J17" i="6" s="1"/>
  <c r="J14" i="6"/>
  <c r="G66" i="6"/>
  <c r="E63" i="6"/>
  <c r="G63" i="6"/>
  <c r="E61" i="6"/>
  <c r="E62" i="6"/>
  <c r="E60" i="6"/>
  <c r="E59" i="6"/>
  <c r="G64" i="6"/>
  <c r="G38" i="6"/>
  <c r="G61" i="6"/>
  <c r="G62" i="6"/>
  <c r="G60" i="6"/>
  <c r="G65" i="6"/>
  <c r="G67" i="6"/>
  <c r="J12" i="6"/>
  <c r="G59" i="6"/>
  <c r="F38" i="6"/>
  <c r="D3" i="5" s="1"/>
  <c r="J11" i="6"/>
  <c r="G44" i="6"/>
  <c r="G51" i="6"/>
  <c r="G42" i="6"/>
  <c r="G43" i="6"/>
  <c r="G57" i="6"/>
  <c r="G41" i="6"/>
  <c r="G54" i="6"/>
  <c r="G45" i="6"/>
  <c r="G40" i="6"/>
  <c r="G55" i="6"/>
  <c r="G49" i="6"/>
  <c r="G58" i="6"/>
  <c r="G48" i="6"/>
  <c r="G52" i="6"/>
  <c r="G46" i="6"/>
  <c r="G47" i="6"/>
  <c r="G56" i="6"/>
  <c r="G50" i="6"/>
  <c r="G53" i="6"/>
  <c r="G39" i="6"/>
  <c r="E51" i="6"/>
  <c r="E44" i="6"/>
  <c r="E50" i="6"/>
  <c r="E43" i="6"/>
  <c r="E49" i="6"/>
  <c r="E41" i="6"/>
  <c r="E56" i="6"/>
  <c r="E58" i="6"/>
  <c r="E57" i="6"/>
  <c r="E54" i="6"/>
  <c r="E55" i="6"/>
  <c r="E45" i="6"/>
  <c r="E46" i="6"/>
  <c r="E47" i="6"/>
  <c r="E52" i="6"/>
  <c r="E48" i="6"/>
  <c r="E40" i="6"/>
  <c r="E42" i="6"/>
  <c r="E53" i="6"/>
  <c r="E39" i="6"/>
  <c r="F43" i="6"/>
  <c r="F50" i="6"/>
  <c r="F44" i="6"/>
  <c r="F65" i="6"/>
  <c r="F56" i="6"/>
  <c r="F61" i="6"/>
  <c r="F53" i="6"/>
  <c r="F60" i="6"/>
  <c r="F51" i="6"/>
  <c r="F63" i="6"/>
  <c r="F66" i="6"/>
  <c r="F41" i="6"/>
  <c r="F57" i="6"/>
  <c r="F46" i="6"/>
  <c r="F58" i="6"/>
  <c r="F64" i="6"/>
  <c r="F49" i="6"/>
  <c r="F52" i="6"/>
  <c r="F42" i="6"/>
  <c r="F55" i="6"/>
  <c r="F67" i="6"/>
  <c r="F62" i="6"/>
  <c r="F40" i="6"/>
  <c r="F47" i="6"/>
  <c r="F48" i="6"/>
  <c r="F59" i="6"/>
  <c r="F45" i="6"/>
  <c r="F54" i="6"/>
  <c r="F39" i="6"/>
  <c r="D12" i="5" l="1"/>
  <c r="D11" i="5"/>
  <c r="D19" i="5"/>
  <c r="D4" i="5"/>
  <c r="D6" i="5"/>
  <c r="D7" i="5"/>
  <c r="D9" i="5"/>
  <c r="D20" i="5"/>
  <c r="D10" i="5"/>
  <c r="D15" i="5"/>
  <c r="D17" i="5"/>
  <c r="D21" i="5"/>
  <c r="D14" i="5"/>
  <c r="D18" i="5"/>
  <c r="D5" i="5"/>
  <c r="D22" i="5"/>
  <c r="D16" i="5"/>
  <c r="D24" i="5"/>
  <c r="D8" i="5"/>
  <c r="D13" i="5"/>
  <c r="D23" i="5"/>
  <c r="J39" i="6"/>
  <c r="F4" i="5" s="1"/>
  <c r="J57" i="6"/>
  <c r="F22" i="5" s="1"/>
  <c r="J46" i="6"/>
  <c r="F11" i="5" s="1"/>
  <c r="J67" i="6"/>
  <c r="F32" i="5" s="1"/>
  <c r="J64" i="6"/>
  <c r="F29" i="5" s="1"/>
  <c r="J54" i="6"/>
  <c r="F19" i="5" s="1"/>
  <c r="J56" i="6"/>
  <c r="F21" i="5" s="1"/>
  <c r="J51" i="6"/>
  <c r="F16" i="5" s="1"/>
  <c r="J59" i="6"/>
  <c r="F24" i="5" s="1"/>
  <c r="J63" i="6"/>
  <c r="F28" i="5" s="1"/>
  <c r="J45" i="6"/>
  <c r="F10" i="5" s="1"/>
  <c r="J60" i="6"/>
  <c r="F25" i="5" s="1"/>
  <c r="J48" i="6"/>
  <c r="F13" i="5" s="1"/>
  <c r="J58" i="6"/>
  <c r="F23" i="5" s="1"/>
  <c r="J65" i="6"/>
  <c r="F30" i="5" s="1"/>
  <c r="J44" i="6"/>
  <c r="F9" i="5" s="1"/>
  <c r="J40" i="6"/>
  <c r="F5" i="5" s="1"/>
  <c r="J42" i="6"/>
  <c r="F7" i="5" s="1"/>
  <c r="J49" i="6"/>
  <c r="F14" i="5" s="1"/>
  <c r="J61" i="6"/>
  <c r="F26" i="5" s="1"/>
  <c r="J41" i="6"/>
  <c r="F6" i="5" s="1"/>
  <c r="J66" i="6"/>
  <c r="F31" i="5" s="1"/>
  <c r="J53" i="6"/>
  <c r="F18" i="5" s="1"/>
  <c r="J47" i="6"/>
  <c r="F12" i="5" s="1"/>
  <c r="J43" i="6"/>
  <c r="F8" i="5" s="1"/>
  <c r="J55" i="6"/>
  <c r="F20" i="5" s="1"/>
  <c r="J62" i="6"/>
  <c r="F27" i="5" s="1"/>
  <c r="J50" i="6"/>
  <c r="F15" i="5" s="1"/>
  <c r="J52" i="6"/>
  <c r="F17" i="5" s="1"/>
  <c r="J38" i="6"/>
  <c r="F3" i="5" s="1"/>
  <c r="H38" i="6"/>
  <c r="E3" i="5" s="1"/>
  <c r="H39" i="6"/>
  <c r="E4" i="5" s="1"/>
  <c r="H54" i="6"/>
  <c r="O54" i="6" s="1"/>
  <c r="H53" i="6"/>
  <c r="E18" i="5" s="1"/>
  <c r="H59" i="6"/>
  <c r="O59" i="6" s="1"/>
  <c r="H47" i="6"/>
  <c r="E12" i="5" s="1"/>
  <c r="H40" i="6"/>
  <c r="O40" i="6" s="1"/>
  <c r="H46" i="6"/>
  <c r="E11" i="5" s="1"/>
  <c r="H67" i="6"/>
  <c r="O67" i="6" s="1"/>
  <c r="H52" i="6"/>
  <c r="E17" i="5" s="1"/>
  <c r="H61" i="6"/>
  <c r="E26" i="5" s="1"/>
  <c r="H55" i="6"/>
  <c r="E20" i="5" s="1"/>
  <c r="H48" i="6"/>
  <c r="O48" i="6" s="1"/>
  <c r="H42" i="6"/>
  <c r="E7" i="5" s="1"/>
  <c r="H60" i="6"/>
  <c r="E25" i="5" s="1"/>
  <c r="H49" i="6"/>
  <c r="E14" i="5" s="1"/>
  <c r="H62" i="6"/>
  <c r="E27" i="5" s="1"/>
  <c r="H41" i="6"/>
  <c r="O41" i="6" s="1"/>
  <c r="H66" i="6"/>
  <c r="E31" i="5" s="1"/>
  <c r="H31" i="5" s="1"/>
  <c r="H65" i="6"/>
  <c r="E30" i="5" s="1"/>
  <c r="H51" i="6"/>
  <c r="E16" i="5" s="1"/>
  <c r="H63" i="6"/>
  <c r="O63" i="6" s="1"/>
  <c r="H56" i="6"/>
  <c r="O56" i="6" s="1"/>
  <c r="H50" i="6"/>
  <c r="E15" i="5" s="1"/>
  <c r="H45" i="6"/>
  <c r="E10" i="5" s="1"/>
  <c r="H64" i="6"/>
  <c r="E29" i="5" s="1"/>
  <c r="H29" i="5" s="1"/>
  <c r="H58" i="6"/>
  <c r="E23" i="5" s="1"/>
  <c r="H57" i="6"/>
  <c r="E22" i="5" s="1"/>
  <c r="H43" i="6"/>
  <c r="O43" i="6" s="1"/>
  <c r="H44" i="6"/>
  <c r="O44" i="6" s="1"/>
  <c r="F68" i="6"/>
  <c r="E19" i="5" l="1"/>
  <c r="H19" i="5" s="1"/>
  <c r="G11" i="5"/>
  <c r="H12" i="5"/>
  <c r="E21" i="5"/>
  <c r="G21" i="5" s="1"/>
  <c r="G12" i="5"/>
  <c r="E24" i="5"/>
  <c r="H24" i="5" s="1"/>
  <c r="E8" i="5"/>
  <c r="G8" i="5" s="1"/>
  <c r="E6" i="5"/>
  <c r="H6" i="5" s="1"/>
  <c r="E9" i="5"/>
  <c r="G9" i="5" s="1"/>
  <c r="E13" i="5"/>
  <c r="H13" i="5" s="1"/>
  <c r="H3" i="5"/>
  <c r="E5" i="5"/>
  <c r="H5" i="5" s="1"/>
  <c r="G4" i="5"/>
  <c r="H4" i="5"/>
  <c r="H17" i="5"/>
  <c r="G17" i="5"/>
  <c r="G18" i="5"/>
  <c r="H18" i="5"/>
  <c r="G3" i="5"/>
  <c r="G23" i="5"/>
  <c r="H23" i="5"/>
  <c r="H15" i="5"/>
  <c r="G15" i="5"/>
  <c r="H7" i="5"/>
  <c r="G7" i="5"/>
  <c r="H22" i="5"/>
  <c r="G22" i="5"/>
  <c r="G10" i="5"/>
  <c r="H10" i="5"/>
  <c r="H11" i="5"/>
  <c r="G14" i="5"/>
  <c r="H14" i="5"/>
  <c r="G20" i="5"/>
  <c r="H20" i="5"/>
  <c r="G16" i="5"/>
  <c r="H16" i="5"/>
  <c r="G30" i="5"/>
  <c r="G31" i="5"/>
  <c r="G29" i="5"/>
  <c r="H30" i="5"/>
  <c r="G27" i="5"/>
  <c r="H27" i="5"/>
  <c r="H26" i="5"/>
  <c r="G26" i="5"/>
  <c r="G25" i="5"/>
  <c r="H25" i="5"/>
  <c r="E28" i="5"/>
  <c r="H28" i="5" s="1"/>
  <c r="E32" i="5"/>
  <c r="N64" i="6"/>
  <c r="N38" i="6"/>
  <c r="N65" i="6"/>
  <c r="N55" i="6"/>
  <c r="N52" i="6"/>
  <c r="N39" i="6"/>
  <c r="N58" i="6"/>
  <c r="N45" i="6"/>
  <c r="N51" i="6"/>
  <c r="N42" i="6"/>
  <c r="O65" i="6"/>
  <c r="N61" i="6"/>
  <c r="N50" i="6"/>
  <c r="N46" i="6"/>
  <c r="O64" i="6"/>
  <c r="N67" i="6"/>
  <c r="N62" i="6"/>
  <c r="O62" i="6"/>
  <c r="K68" i="6"/>
  <c r="N57" i="6"/>
  <c r="N53" i="6"/>
  <c r="N63" i="6"/>
  <c r="N66" i="6"/>
  <c r="O66" i="6"/>
  <c r="O61" i="6"/>
  <c r="N49" i="6"/>
  <c r="N47" i="6"/>
  <c r="N60" i="6"/>
  <c r="O60" i="6"/>
  <c r="N59" i="6"/>
  <c r="O45" i="6"/>
  <c r="O39" i="6"/>
  <c r="N41" i="6"/>
  <c r="N54" i="6"/>
  <c r="O53" i="6"/>
  <c r="O52" i="6"/>
  <c r="O47" i="6"/>
  <c r="O57" i="6"/>
  <c r="O58" i="6"/>
  <c r="O50" i="6"/>
  <c r="O46" i="6"/>
  <c r="N56" i="6"/>
  <c r="O51" i="6"/>
  <c r="O42" i="6"/>
  <c r="N43" i="6"/>
  <c r="H68" i="6"/>
  <c r="O38" i="6"/>
  <c r="N44" i="6"/>
  <c r="N48" i="6"/>
  <c r="N40" i="6"/>
  <c r="O49" i="6"/>
  <c r="O55" i="6"/>
  <c r="H21" i="5" l="1"/>
  <c r="G24" i="5"/>
  <c r="H9" i="5"/>
  <c r="G6" i="5"/>
  <c r="G19" i="5"/>
  <c r="G5" i="5"/>
  <c r="H8" i="5"/>
  <c r="G13" i="5"/>
  <c r="G32" i="5"/>
  <c r="H32" i="5"/>
  <c r="G28" i="5"/>
  <c r="E4" i="6" l="1"/>
  <c r="F4" i="6" s="1"/>
  <c r="E12" i="6"/>
  <c r="F12" i="6" s="1"/>
  <c r="E20" i="6"/>
  <c r="F20" i="6" s="1"/>
  <c r="E24" i="6"/>
  <c r="F24" i="6" s="1"/>
  <c r="E10" i="6"/>
  <c r="F10" i="6" s="1"/>
  <c r="E11" i="6"/>
  <c r="F11" i="6" s="1"/>
  <c r="E5" i="6"/>
  <c r="F5" i="6" s="1"/>
  <c r="E13" i="6"/>
  <c r="F13" i="6" s="1"/>
  <c r="E21" i="6"/>
  <c r="F21" i="6" s="1"/>
  <c r="E16" i="6"/>
  <c r="F16" i="6" s="1"/>
  <c r="E9" i="6"/>
  <c r="F9" i="6" s="1"/>
  <c r="E18" i="6"/>
  <c r="F18" i="6" s="1"/>
  <c r="E6" i="6"/>
  <c r="F6" i="6" s="1"/>
  <c r="E14" i="6"/>
  <c r="F14" i="6" s="1"/>
  <c r="E22" i="6"/>
  <c r="F22" i="6" s="1"/>
  <c r="E19" i="6"/>
  <c r="F19" i="6" s="1"/>
  <c r="E7" i="6"/>
  <c r="F7" i="6" s="1"/>
  <c r="E15" i="6"/>
  <c r="F15" i="6" s="1"/>
  <c r="E23" i="6"/>
  <c r="F23" i="6" s="1"/>
  <c r="E8" i="6"/>
  <c r="F8" i="6" s="1"/>
  <c r="E17" i="6"/>
  <c r="F17" i="6" s="1"/>
  <c r="E3" i="6"/>
  <c r="F3" i="6" s="1"/>
</calcChain>
</file>

<file path=xl/sharedStrings.xml><?xml version="1.0" encoding="utf-8"?>
<sst xmlns="http://schemas.openxmlformats.org/spreadsheetml/2006/main" count="192" uniqueCount="108">
  <si>
    <t>Sat/Sun</t>
  </si>
  <si>
    <t>Friday</t>
  </si>
  <si>
    <t>Points</t>
  </si>
  <si>
    <t>Round 1</t>
  </si>
  <si>
    <t>Round 2</t>
  </si>
  <si>
    <t>Days</t>
  </si>
  <si>
    <t>Position</t>
  </si>
  <si>
    <t>Sat</t>
  </si>
  <si>
    <t>Sun</t>
  </si>
  <si>
    <t>Fri</t>
  </si>
  <si>
    <t>Mon</t>
  </si>
  <si>
    <t>Tues</t>
  </si>
  <si>
    <t>Wed</t>
  </si>
  <si>
    <t>Thurs</t>
  </si>
  <si>
    <t>M-F</t>
  </si>
  <si>
    <t>Round 3</t>
  </si>
  <si>
    <t>M-Th</t>
  </si>
  <si>
    <t>Totals:</t>
  </si>
  <si>
    <t>Calculations:</t>
  </si>
  <si>
    <t>Start Date:</t>
  </si>
  <si>
    <t>End Date:</t>
  </si>
  <si>
    <t>Total Staff:</t>
  </si>
  <si>
    <t>Break down of days:</t>
  </si>
  <si>
    <t>Late Shifts:</t>
  </si>
  <si>
    <t>Employee Name:</t>
  </si>
  <si>
    <t>Round 4</t>
  </si>
  <si>
    <t>People - Sdays</t>
  </si>
  <si>
    <t>People - Fdays</t>
  </si>
  <si>
    <t>INT(Sdays/People)</t>
  </si>
  <si>
    <t>INT(Fdays/People)</t>
  </si>
  <si>
    <t>Tenure:</t>
  </si>
  <si>
    <t>#</t>
  </si>
  <si>
    <t>Total Employees:</t>
  </si>
  <si>
    <t>Late Shift Staffing:</t>
  </si>
  <si>
    <t>Draft</t>
  </si>
  <si>
    <t>Round 5</t>
  </si>
  <si>
    <t>Days/People left:</t>
  </si>
  <si>
    <t>People - Sdays Left</t>
  </si>
  <si>
    <t>PPL - S/S &amp; F Ds Lft</t>
  </si>
  <si>
    <t>More PPL - S/F shft</t>
  </si>
  <si>
    <t>F lft - (ppl - S lft)</t>
  </si>
  <si>
    <t>PPl - S/S Days left</t>
  </si>
  <si>
    <t>PPL - Fri Days Left</t>
  </si>
  <si>
    <t>ppl - (ppl - s/f ds l)</t>
  </si>
  <si>
    <t>Weight:</t>
  </si>
  <si>
    <t>To Generate List Enter "1" -&gt;</t>
  </si>
  <si>
    <t>Done</t>
  </si>
  <si>
    <t>Values:</t>
  </si>
  <si>
    <t>Blank = Reset</t>
  </si>
  <si>
    <t>1 = Generate new random list</t>
  </si>
  <si>
    <t>0 = Update table with current ranks</t>
  </si>
  <si>
    <t>How it works:</t>
  </si>
  <si>
    <t>Fridays</t>
  </si>
  <si>
    <t xml:space="preserve"> Evenly distributed Sat/Sun shifts</t>
  </si>
  <si>
    <t>Evenly distributes M-Th shifts</t>
  </si>
  <si>
    <t>Evenly distributes Friday shifts</t>
  </si>
  <si>
    <t>Distributes remaining Sat/Sun shifts bottom up</t>
  </si>
  <si>
    <t>Distributes remaining Friday shifts from bottom up, starting AFTER remaining Sat/Sun are assigned</t>
  </si>
  <si>
    <t>Distributes remaining M-Th shifts from top down</t>
  </si>
  <si>
    <t>Possible 1 less day for picking in the middle, with less options</t>
  </si>
  <si>
    <t>and</t>
  </si>
  <si>
    <t>are more than total number of current staff</t>
  </si>
  <si>
    <t>Example:</t>
  </si>
  <si>
    <t>Remaining Sat/Sun shifts:</t>
  </si>
  <si>
    <t>assign to</t>
  </si>
  <si>
    <t>like normal</t>
  </si>
  <si>
    <t>Remaining Friday shifts:</t>
  </si>
  <si>
    <t>assign 7 first to the</t>
  </si>
  <si>
    <t>then remaining 3 to</t>
  </si>
  <si>
    <t>based on bottom up ranking</t>
  </si>
  <si>
    <t>Same concept as in</t>
  </si>
  <si>
    <t>scenario, fill M-Th top down then bottom up if necessary for the extra remaining days</t>
  </si>
  <si>
    <t>Concept:</t>
  </si>
  <si>
    <t>Designed to assign shifts out evenly then split remainder of shifts from bottom up based on lowest pick/point value</t>
  </si>
  <si>
    <t>ratios.  The lowest rank receives the least options to pick from, and the least desireable shifts to pick from, as a result</t>
  </si>
  <si>
    <t>they receive the most points possible.  Points are distributed as evenly as possible resulting in first group receiving</t>
  </si>
  <si>
    <t xml:space="preserve">the least points but the best shift pick options.  If no point shifts are available (middle of list generally), your 'reward' </t>
  </si>
  <si>
    <t>for picking lower with fewer options is to pick 1 less day if possible.</t>
  </si>
  <si>
    <t>Possible overflow of remaining Fridays assigned from bottom up only if</t>
  </si>
  <si>
    <t>Start</t>
  </si>
  <si>
    <t>End</t>
  </si>
  <si>
    <t>Robert Patridge</t>
  </si>
  <si>
    <t>Stephen Bedsole</t>
  </si>
  <si>
    <t>Daniel DeMarco</t>
  </si>
  <si>
    <t>Todd Graham</t>
  </si>
  <si>
    <t>Dwayne Desmarais</t>
  </si>
  <si>
    <t>Nicholas Manos</t>
  </si>
  <si>
    <t>Scott Bears</t>
  </si>
  <si>
    <t>Parker Conrad</t>
  </si>
  <si>
    <t>Kali Zirkle</t>
  </si>
  <si>
    <t>Susan Pawlisheck</t>
  </si>
  <si>
    <t>Peter Brefini</t>
  </si>
  <si>
    <t>Matt Lacorazza</t>
  </si>
  <si>
    <t>Kristi McDowell</t>
  </si>
  <si>
    <t>Tim Ringwood</t>
  </si>
  <si>
    <t>Colin O'kane</t>
  </si>
  <si>
    <t>Greg Rasmussen</t>
  </si>
  <si>
    <t>Dieter Erkstrom</t>
  </si>
  <si>
    <t>Allison Barclay</t>
  </si>
  <si>
    <t>Cameron Viveiros</t>
  </si>
  <si>
    <t>Ryan Cheek</t>
  </si>
  <si>
    <t>Dan Hamilton</t>
  </si>
  <si>
    <t>Sarah Katz</t>
  </si>
  <si>
    <t>Last Rank:</t>
  </si>
  <si>
    <t>Bonus for working extra point shifts:</t>
  </si>
  <si>
    <t>Rank</t>
  </si>
  <si>
    <t>Employee</t>
  </si>
  <si>
    <t>Tenure/Bonus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</si>
</sst>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A010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Font="1"/>
    <xf numFmtId="0" fontId="0" fillId="3" borderId="4" xfId="0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Border="1" applyAlignment="1">
      <alignment horizontal="left" indent="1"/>
    </xf>
    <xf numFmtId="0" fontId="1" fillId="0" borderId="13" xfId="0" applyFont="1" applyBorder="1" applyAlignment="1">
      <alignment horizontal="center"/>
    </xf>
    <xf numFmtId="0" fontId="1" fillId="0" borderId="1" xfId="0" applyFont="1" applyBorder="1" applyAlignment="1">
      <alignment horizontal="left" indent="1"/>
    </xf>
    <xf numFmtId="0" fontId="1" fillId="0" borderId="1" xfId="0" applyFont="1" applyBorder="1" applyAlignment="1">
      <alignment horizontal="center"/>
    </xf>
    <xf numFmtId="0" fontId="0" fillId="0" borderId="11" xfId="0" applyBorder="1" applyAlignment="1">
      <alignment horizontal="left" indent="1"/>
    </xf>
    <xf numFmtId="0" fontId="0" fillId="0" borderId="12" xfId="0" applyBorder="1" applyAlignment="1">
      <alignment horizontal="left" indent="1"/>
    </xf>
    <xf numFmtId="0" fontId="1" fillId="0" borderId="0" xfId="0" applyFont="1" applyFill="1" applyBorder="1" applyAlignment="1">
      <alignment horizontal="left"/>
    </xf>
    <xf numFmtId="0" fontId="1" fillId="4" borderId="8" xfId="0" applyFont="1" applyFill="1" applyBorder="1"/>
    <xf numFmtId="0" fontId="1" fillId="4" borderId="9" xfId="0" applyFont="1" applyFill="1" applyBorder="1"/>
    <xf numFmtId="0" fontId="2" fillId="0" borderId="0" xfId="0" applyFont="1" applyAlignment="1">
      <alignment horizontal="left"/>
    </xf>
    <xf numFmtId="0" fontId="1" fillId="4" borderId="5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3" fillId="0" borderId="0" xfId="0" applyFont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4" fillId="0" borderId="0" xfId="0" applyFont="1"/>
    <xf numFmtId="0" fontId="0" fillId="2" borderId="5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4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7" borderId="5" xfId="0" applyFill="1" applyBorder="1"/>
    <xf numFmtId="0" fontId="0" fillId="7" borderId="2" xfId="0" applyFill="1" applyBorder="1"/>
    <xf numFmtId="0" fontId="0" fillId="7" borderId="7" xfId="0" applyFill="1" applyBorder="1"/>
    <xf numFmtId="0" fontId="0" fillId="6" borderId="1" xfId="0" applyFill="1" applyBorder="1"/>
    <xf numFmtId="0" fontId="0" fillId="5" borderId="1" xfId="0" applyFill="1" applyBorder="1"/>
    <xf numFmtId="0" fontId="0" fillId="7" borderId="1" xfId="0" applyFill="1" applyBorder="1"/>
    <xf numFmtId="0" fontId="0" fillId="8" borderId="11" xfId="0" applyFill="1" applyBorder="1"/>
    <xf numFmtId="0" fontId="0" fillId="8" borderId="1" xfId="0" applyFill="1" applyBorder="1"/>
    <xf numFmtId="0" fontId="0" fillId="9" borderId="10" xfId="0" quotePrefix="1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10" borderId="1" xfId="0" applyFill="1" applyBorder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8" borderId="10" xfId="0" applyFill="1" applyBorder="1"/>
    <xf numFmtId="0" fontId="0" fillId="8" borderId="12" xfId="0" applyFill="1" applyBorder="1"/>
    <xf numFmtId="0" fontId="0" fillId="11" borderId="1" xfId="0" applyFill="1" applyBorder="1"/>
    <xf numFmtId="0" fontId="0" fillId="12" borderId="12" xfId="0" applyFill="1" applyBorder="1"/>
    <xf numFmtId="0" fontId="0" fillId="12" borderId="10" xfId="0" applyFill="1" applyBorder="1"/>
    <xf numFmtId="0" fontId="0" fillId="12" borderId="1" xfId="0" applyFill="1" applyBorder="1"/>
    <xf numFmtId="0" fontId="0" fillId="9" borderId="5" xfId="0" applyFill="1" applyBorder="1"/>
    <xf numFmtId="0" fontId="0" fillId="13" borderId="11" xfId="0" applyFill="1" applyBorder="1"/>
    <xf numFmtId="0" fontId="0" fillId="13" borderId="12" xfId="0" applyFill="1" applyBorder="1"/>
    <xf numFmtId="0" fontId="0" fillId="13" borderId="1" xfId="0" applyFill="1" applyBorder="1"/>
    <xf numFmtId="0" fontId="0" fillId="0" borderId="0" xfId="0" applyBorder="1"/>
    <xf numFmtId="14" fontId="0" fillId="0" borderId="1" xfId="0" applyNumberFormat="1" applyBorder="1"/>
    <xf numFmtId="0" fontId="0" fillId="0" borderId="3" xfId="0" applyBorder="1" applyAlignment="1"/>
    <xf numFmtId="0" fontId="0" fillId="0" borderId="4" xfId="0" applyBorder="1" applyAlignment="1"/>
    <xf numFmtId="0" fontId="1" fillId="4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0" xfId="0" applyFont="1" applyBorder="1" applyAlignment="1">
      <alignment horizontal="center"/>
    </xf>
    <xf numFmtId="10" fontId="0" fillId="0" borderId="0" xfId="0" applyNumberFormat="1"/>
    <xf numFmtId="0" fontId="0" fillId="4" borderId="0" xfId="0" applyFill="1"/>
    <xf numFmtId="0" fontId="0" fillId="4" borderId="2" xfId="0" applyFill="1" applyBorder="1"/>
    <xf numFmtId="0" fontId="0" fillId="4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99"/>
      <color rgb="FF66FFFF"/>
      <color rgb="FFFF7C80"/>
      <color rgb="FFFF5050"/>
      <color rgb="FFCC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475130</xdr:colOff>
          <xdr:row>2</xdr:row>
          <xdr:rowOff>26333</xdr:rowOff>
        </xdr:from>
        <xdr:to>
          <xdr:col>13</xdr:col>
          <xdr:colOff>598955</xdr:colOff>
          <xdr:row>5</xdr:row>
          <xdr:rowOff>35858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Roster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58"/>
  <sheetViews>
    <sheetView tabSelected="1" topLeftCell="A37" zoomScale="85" zoomScaleNormal="85" workbookViewId="0">
      <selection activeCell="K27" sqref="K27"/>
    </sheetView>
  </sheetViews>
  <sheetFormatPr defaultRowHeight="15" x14ac:dyDescent="0.25"/>
  <cols>
    <col min="1" max="1" width="5.7109375" customWidth="1"/>
    <col min="2" max="2" width="26.42578125" customWidth="1"/>
    <col min="4" max="4" width="9.140625" customWidth="1"/>
    <col min="11" max="11" width="16.7109375" customWidth="1"/>
    <col min="12" max="12" width="11.42578125" customWidth="1"/>
    <col min="15" max="15" width="9.85546875" bestFit="1" customWidth="1"/>
  </cols>
  <sheetData>
    <row r="1" spans="2:16" x14ac:dyDescent="0.25">
      <c r="C1">
        <v>1</v>
      </c>
      <c r="D1">
        <v>0</v>
      </c>
      <c r="E1">
        <v>5.5555555555555552E-2</v>
      </c>
    </row>
    <row r="2" spans="2:16" x14ac:dyDescent="0.25">
      <c r="B2" s="15" t="s">
        <v>106</v>
      </c>
      <c r="C2" s="35" t="s">
        <v>105</v>
      </c>
      <c r="D2" s="35" t="s">
        <v>0</v>
      </c>
      <c r="E2" s="35" t="s">
        <v>1</v>
      </c>
      <c r="F2" s="35" t="s">
        <v>16</v>
      </c>
      <c r="G2" s="35" t="s">
        <v>5</v>
      </c>
      <c r="H2" s="35" t="s">
        <v>2</v>
      </c>
      <c r="I2" s="35" t="s">
        <v>46</v>
      </c>
      <c r="M2" s="97"/>
      <c r="N2" s="97"/>
      <c r="O2" s="97"/>
      <c r="P2" s="97"/>
    </row>
    <row r="3" spans="2:16" x14ac:dyDescent="0.25">
      <c r="B3" s="106" t="s">
        <v>89</v>
      </c>
      <c r="C3" s="14">
        <v>1</v>
      </c>
      <c r="D3" s="57">
        <f ca="1">IF(C3&gt;Data!$J$28,"-",IF(SUM(Data!E38:F38)=0,"-",SUM(Data!E38:F38)))</f>
        <v>1</v>
      </c>
      <c r="E3" s="14">
        <f ca="1">IF(C3&gt;Data!$J$28,"-",IF(SUM(Data!G38:H38)=0,"-",SUM(Data!G38:H38)))</f>
        <v>1</v>
      </c>
      <c r="F3" s="34">
        <f ca="1">IF(C3&gt;Data!$J$28,"-",IF(SUM(Data!I38:J38)=0,"-",SUM(Data!I38:J38)))</f>
        <v>5</v>
      </c>
      <c r="G3" s="14">
        <f t="shared" ref="G3:G24" ca="1" si="0">IF(SUM(D3:F3)=0,"-",SUM(D3:F3))</f>
        <v>7</v>
      </c>
      <c r="H3" s="14">
        <f t="shared" ref="H3:H24" ca="1" si="1">IF(SUM(D3:E3)=0,"-",SUM(D3:E3))</f>
        <v>2</v>
      </c>
      <c r="I3" s="34"/>
      <c r="K3" s="97" t="s">
        <v>21</v>
      </c>
      <c r="L3" s="30">
        <v>22</v>
      </c>
      <c r="M3" s="97"/>
      <c r="P3" s="97"/>
    </row>
    <row r="4" spans="2:16" x14ac:dyDescent="0.25">
      <c r="B4" s="59" t="s">
        <v>88</v>
      </c>
      <c r="C4" s="12">
        <v>2</v>
      </c>
      <c r="D4" s="54">
        <f ca="1">IF(C4&gt;Data!$J$28,"-",IF(SUM(Data!E39:F39)=0,"-",SUM(Data!E39:F39)))</f>
        <v>1</v>
      </c>
      <c r="E4" s="12">
        <f ca="1">IF(C4&gt;Data!$J$28,"-",IF(SUM(Data!G39:H39)=0,"-",SUM(Data!G39:H39)))</f>
        <v>1</v>
      </c>
      <c r="F4" s="9">
        <f ca="1">IF(C4&gt;Data!$J$28,"-",IF(SUM(Data!I39:J39)=0,"-",SUM(Data!I39:J39)))</f>
        <v>5</v>
      </c>
      <c r="G4" s="12">
        <f t="shared" ca="1" si="0"/>
        <v>7</v>
      </c>
      <c r="H4" s="12">
        <f t="shared" ca="1" si="1"/>
        <v>2</v>
      </c>
      <c r="I4" s="9"/>
      <c r="M4" s="97"/>
      <c r="N4" s="97"/>
      <c r="P4" s="97"/>
    </row>
    <row r="5" spans="2:16" x14ac:dyDescent="0.25">
      <c r="B5" s="107" t="s">
        <v>85</v>
      </c>
      <c r="C5" s="11">
        <v>3</v>
      </c>
      <c r="D5" s="55">
        <f ca="1">IF(C5&gt;Data!$J$28,"-",IF(SUM(Data!E40:F40)=0,"-",SUM(Data!E40:F40)))</f>
        <v>1</v>
      </c>
      <c r="E5" s="11">
        <f ca="1">IF(C5&gt;Data!$J$28,"-",IF(SUM(Data!G40:H40)=0,"-",SUM(Data!G40:H40)))</f>
        <v>1</v>
      </c>
      <c r="F5" s="4">
        <f ca="1">IF(C5&gt;Data!$J$28,"-",IF(SUM(Data!I40:J40)=0,"-",SUM(Data!I40:J40)))</f>
        <v>5</v>
      </c>
      <c r="G5" s="11">
        <f t="shared" ca="1" si="0"/>
        <v>7</v>
      </c>
      <c r="H5" s="11">
        <f t="shared" ca="1" si="1"/>
        <v>2</v>
      </c>
      <c r="I5" s="4"/>
      <c r="K5" s="97" t="s">
        <v>79</v>
      </c>
      <c r="L5" s="98">
        <v>42826</v>
      </c>
      <c r="O5" s="97"/>
      <c r="P5" s="97"/>
    </row>
    <row r="6" spans="2:16" x14ac:dyDescent="0.25">
      <c r="B6" s="59" t="s">
        <v>100</v>
      </c>
      <c r="C6" s="12">
        <v>4</v>
      </c>
      <c r="D6" s="54">
        <f ca="1">IF(C6&gt;Data!$J$28,"-",IF(SUM(Data!E41:F41)=0,"-",SUM(Data!E41:F41)))</f>
        <v>1</v>
      </c>
      <c r="E6" s="12">
        <f ca="1">IF(C6&gt;Data!$J$28,"-",IF(SUM(Data!G41:H41)=0,"-",SUM(Data!G41:H41)))</f>
        <v>1</v>
      </c>
      <c r="F6" s="9">
        <f ca="1">IF(C6&gt;Data!$J$28,"-",IF(SUM(Data!I41:J41)=0,"-",SUM(Data!I41:J41)))</f>
        <v>5</v>
      </c>
      <c r="G6" s="12">
        <f t="shared" ca="1" si="0"/>
        <v>7</v>
      </c>
      <c r="H6" s="12">
        <f t="shared" ca="1" si="1"/>
        <v>2</v>
      </c>
      <c r="I6" s="9"/>
      <c r="K6" s="97"/>
      <c r="L6" s="97"/>
      <c r="M6" s="97"/>
      <c r="N6" s="97"/>
      <c r="O6" s="97"/>
      <c r="P6" s="97"/>
    </row>
    <row r="7" spans="2:16" x14ac:dyDescent="0.25">
      <c r="B7" s="107" t="s">
        <v>83</v>
      </c>
      <c r="C7" s="11">
        <v>5</v>
      </c>
      <c r="D7" s="55">
        <f ca="1">IF(C7&gt;Data!$J$28,"-",IF(SUM(Data!E42:F42)=0,"-",SUM(Data!E42:F42)))</f>
        <v>1</v>
      </c>
      <c r="E7" s="11">
        <f ca="1">IF(C7&gt;Data!$J$28,"-",IF(SUM(Data!G42:H42)=0,"-",SUM(Data!G42:H42)))</f>
        <v>1</v>
      </c>
      <c r="F7" s="4">
        <f ca="1">IF(C7&gt;Data!$J$28,"-",IF(SUM(Data!I42:J42)=0,"-",SUM(Data!I42:J42)))</f>
        <v>5</v>
      </c>
      <c r="G7" s="11">
        <f t="shared" ca="1" si="0"/>
        <v>7</v>
      </c>
      <c r="H7" s="11">
        <f t="shared" ca="1" si="1"/>
        <v>2</v>
      </c>
      <c r="I7" s="4"/>
      <c r="K7" s="97" t="s">
        <v>80</v>
      </c>
      <c r="L7" s="98">
        <v>42916</v>
      </c>
      <c r="M7" s="97"/>
      <c r="P7" s="97"/>
    </row>
    <row r="8" spans="2:16" x14ac:dyDescent="0.25">
      <c r="B8" s="59" t="s">
        <v>92</v>
      </c>
      <c r="C8" s="12">
        <v>6</v>
      </c>
      <c r="D8" s="54">
        <f ca="1">IF(C8&gt;Data!$J$28,"-",IF(SUM(Data!E43:F43)=0,"-",SUM(Data!E43:F43)))</f>
        <v>1</v>
      </c>
      <c r="E8" s="12">
        <f ca="1">IF(C8&gt;Data!$J$28,"-",IF(SUM(Data!G43:H43)=0,"-",SUM(Data!G43:H43)))</f>
        <v>1</v>
      </c>
      <c r="F8" s="9">
        <f ca="1">IF(C8&gt;Data!$J$28,"-",IF(SUM(Data!I43:J43)=0,"-",SUM(Data!I43:J43)))</f>
        <v>5</v>
      </c>
      <c r="G8" s="12">
        <f t="shared" ca="1" si="0"/>
        <v>7</v>
      </c>
      <c r="H8" s="12">
        <f t="shared" ca="1" si="1"/>
        <v>2</v>
      </c>
      <c r="I8" s="9"/>
      <c r="M8" s="97"/>
      <c r="P8" s="97"/>
    </row>
    <row r="9" spans="2:16" x14ac:dyDescent="0.25">
      <c r="B9" s="107" t="s">
        <v>96</v>
      </c>
      <c r="C9" s="11">
        <v>7</v>
      </c>
      <c r="D9" s="55">
        <f ca="1">IF(C9&gt;Data!$J$28,"-",IF(SUM(Data!E44:F44)=0,"-",SUM(Data!E44:F44)))</f>
        <v>1</v>
      </c>
      <c r="E9" s="11">
        <f ca="1">IF(C9&gt;Data!$J$28,"-",IF(SUM(Data!G44:H44)=0,"-",SUM(Data!G44:H44)))</f>
        <v>1</v>
      </c>
      <c r="F9" s="4">
        <f ca="1">IF(C9&gt;Data!$J$28,"-",IF(SUM(Data!I44:J44)=0,"-",SUM(Data!I44:J44)))</f>
        <v>5</v>
      </c>
      <c r="G9" s="11">
        <f t="shared" ca="1" si="0"/>
        <v>7</v>
      </c>
      <c r="H9" s="11">
        <f t="shared" ca="1" si="1"/>
        <v>2</v>
      </c>
      <c r="I9" s="4"/>
      <c r="K9" t="s">
        <v>104</v>
      </c>
      <c r="M9" s="97"/>
      <c r="N9" s="30">
        <v>7</v>
      </c>
      <c r="P9" s="97"/>
    </row>
    <row r="10" spans="2:16" x14ac:dyDescent="0.25">
      <c r="B10" s="59" t="s">
        <v>94</v>
      </c>
      <c r="C10" s="12">
        <v>8</v>
      </c>
      <c r="D10" s="54">
        <f ca="1">IF(C10&gt;Data!$J$28,"-",IF(SUM(Data!E45:F45)=0,"-",SUM(Data!E45:F45)))</f>
        <v>1</v>
      </c>
      <c r="E10" s="12">
        <f ca="1">IF(C10&gt;Data!$J$28,"-",IF(SUM(Data!G45:H45)=0,"-",SUM(Data!G45:H45)))</f>
        <v>1</v>
      </c>
      <c r="F10" s="9">
        <f ca="1">IF(C10&gt;Data!$J$28,"-",IF(SUM(Data!I45:J45)=0,"-",SUM(Data!I45:J45)))</f>
        <v>5</v>
      </c>
      <c r="G10" s="12">
        <f t="shared" ca="1" si="0"/>
        <v>7</v>
      </c>
      <c r="H10" s="12">
        <f t="shared" ca="1" si="1"/>
        <v>2</v>
      </c>
      <c r="I10" s="9"/>
      <c r="M10" s="97"/>
      <c r="N10" s="97"/>
      <c r="O10" s="97"/>
      <c r="P10" s="97"/>
    </row>
    <row r="11" spans="2:16" x14ac:dyDescent="0.25">
      <c r="B11" s="107" t="s">
        <v>98</v>
      </c>
      <c r="C11" s="11">
        <v>9</v>
      </c>
      <c r="D11" s="55">
        <f ca="1">IF(C11&gt;Data!$J$28,"-",IF(SUM(Data!E46:F46)=0,"-",SUM(Data!E46:F46)))</f>
        <v>1</v>
      </c>
      <c r="E11" s="11">
        <f ca="1">IF(C11&gt;Data!$J$28,"-",IF(SUM(Data!G46:H46)=0,"-",SUM(Data!G46:H46)))</f>
        <v>1</v>
      </c>
      <c r="F11" s="4">
        <f ca="1">IF(C11&gt;Data!$J$28,"-",IF(SUM(Data!I46:J46)=0,"-",SUM(Data!I46:J46)))</f>
        <v>5</v>
      </c>
      <c r="G11" s="11">
        <f t="shared" ca="1" si="0"/>
        <v>7</v>
      </c>
      <c r="H11" s="11">
        <f t="shared" ca="1" si="1"/>
        <v>2</v>
      </c>
      <c r="I11" s="4"/>
    </row>
    <row r="12" spans="2:16" x14ac:dyDescent="0.25">
      <c r="B12" s="59" t="s">
        <v>82</v>
      </c>
      <c r="C12" s="12">
        <v>10</v>
      </c>
      <c r="D12" s="54">
        <f ca="1">IF(C12&gt;Data!$J$28,"-",IF(SUM(Data!E47:F47)=0,"-",SUM(Data!E47:F47)))</f>
        <v>1</v>
      </c>
      <c r="E12" s="12">
        <f ca="1">IF(C12&gt;Data!$J$28,"-",IF(SUM(Data!G47:H47)=0,"-",SUM(Data!G47:H47)))</f>
        <v>1</v>
      </c>
      <c r="F12" s="9">
        <f ca="1">IF(C12&gt;Data!$J$28,"-",IF(SUM(Data!I47:J47)=0,"-",SUM(Data!I47:J47)))</f>
        <v>5</v>
      </c>
      <c r="G12" s="12">
        <f t="shared" ca="1" si="0"/>
        <v>7</v>
      </c>
      <c r="H12" s="12">
        <f t="shared" ca="1" si="1"/>
        <v>2</v>
      </c>
      <c r="I12" s="9"/>
    </row>
    <row r="13" spans="2:16" x14ac:dyDescent="0.25">
      <c r="B13" s="107" t="s">
        <v>87</v>
      </c>
      <c r="C13" s="11">
        <v>11</v>
      </c>
      <c r="D13" s="55">
        <f ca="1">IF(C13&gt;Data!$J$28,"-",IF(SUM(Data!E48:F48)=0,"-",SUM(Data!E48:F48)))</f>
        <v>1</v>
      </c>
      <c r="E13" s="11">
        <f ca="1">IF(C13&gt;Data!$J$28,"-",IF(SUM(Data!G48:H48)=0,"-",SUM(Data!G48:H48)))</f>
        <v>1</v>
      </c>
      <c r="F13" s="4">
        <f ca="1">IF(C13&gt;Data!$J$28,"-",IF(SUM(Data!I48:J48)=0,"-",SUM(Data!I48:J48)))</f>
        <v>5</v>
      </c>
      <c r="G13" s="11">
        <f t="shared" ca="1" si="0"/>
        <v>7</v>
      </c>
      <c r="H13" s="11">
        <f t="shared" ca="1" si="1"/>
        <v>2</v>
      </c>
      <c r="I13" s="4"/>
    </row>
    <row r="14" spans="2:16" x14ac:dyDescent="0.25">
      <c r="B14" s="59" t="s">
        <v>81</v>
      </c>
      <c r="C14" s="12">
        <v>12</v>
      </c>
      <c r="D14" s="54">
        <f ca="1">IF(C14&gt;Data!$J$28,"-",IF(SUM(Data!E49:F49)=0,"-",SUM(Data!E49:F49)))</f>
        <v>1</v>
      </c>
      <c r="E14" s="12">
        <f ca="1">IF(C14&gt;Data!$J$28,"-",IF(SUM(Data!G49:H49)=0,"-",SUM(Data!G49:H49)))</f>
        <v>1</v>
      </c>
      <c r="F14" s="9">
        <f ca="1">IF(C14&gt;Data!$J$28,"-",IF(SUM(Data!I49:J49)=0,"-",SUM(Data!I49:J49)))</f>
        <v>5</v>
      </c>
      <c r="G14" s="12">
        <f t="shared" ca="1" si="0"/>
        <v>7</v>
      </c>
      <c r="H14" s="12">
        <f t="shared" ca="1" si="1"/>
        <v>2</v>
      </c>
      <c r="I14" s="9"/>
    </row>
    <row r="15" spans="2:16" x14ac:dyDescent="0.25">
      <c r="B15" s="107" t="s">
        <v>101</v>
      </c>
      <c r="C15" s="11">
        <v>13</v>
      </c>
      <c r="D15" s="55">
        <f ca="1">IF(C15&gt;Data!$J$28,"-",IF(SUM(Data!E50:F50)=0,"-",SUM(Data!E50:F50)))</f>
        <v>1</v>
      </c>
      <c r="E15" s="11">
        <f ca="1">IF(C15&gt;Data!$J$28,"-",IF(SUM(Data!G50:H50)=0,"-",SUM(Data!G50:H50)))</f>
        <v>1</v>
      </c>
      <c r="F15" s="4">
        <f ca="1">IF(C15&gt;Data!$J$28,"-",IF(SUM(Data!I50:J50)=0,"-",SUM(Data!I50:J50)))</f>
        <v>5</v>
      </c>
      <c r="G15" s="11">
        <f t="shared" ca="1" si="0"/>
        <v>7</v>
      </c>
      <c r="H15" s="11">
        <f t="shared" ca="1" si="1"/>
        <v>2</v>
      </c>
      <c r="I15" s="4"/>
    </row>
    <row r="16" spans="2:16" x14ac:dyDescent="0.25">
      <c r="B16" s="59" t="s">
        <v>102</v>
      </c>
      <c r="C16" s="12">
        <v>14</v>
      </c>
      <c r="D16" s="54">
        <f ca="1">IF(C16&gt;Data!$J$28,"-",IF(SUM(Data!E51:F51)=0,"-",SUM(Data!E51:F51)))</f>
        <v>1</v>
      </c>
      <c r="E16" s="12">
        <f ca="1">IF(C16&gt;Data!$J$28,"-",IF(SUM(Data!G51:H51)=0,"-",SUM(Data!G51:H51)))</f>
        <v>1</v>
      </c>
      <c r="F16" s="9">
        <f ca="1">IF(C16&gt;Data!$J$28,"-",IF(SUM(Data!I51:J51)=0,"-",SUM(Data!I51:J51)))</f>
        <v>5</v>
      </c>
      <c r="G16" s="12">
        <f t="shared" ca="1" si="0"/>
        <v>7</v>
      </c>
      <c r="H16" s="12">
        <f t="shared" ca="1" si="1"/>
        <v>2</v>
      </c>
      <c r="I16" s="9"/>
    </row>
    <row r="17" spans="2:12" x14ac:dyDescent="0.25">
      <c r="B17" s="107" t="s">
        <v>90</v>
      </c>
      <c r="C17" s="11">
        <v>15</v>
      </c>
      <c r="D17" s="55">
        <f ca="1">IF(C17&gt;Data!$J$28,"-",IF(SUM(Data!E52:F52)=0,"-",SUM(Data!E52:F52)))</f>
        <v>1</v>
      </c>
      <c r="E17" s="11">
        <f ca="1">IF(C17&gt;Data!$J$28,"-",IF(SUM(Data!G52:H52)=0,"-",SUM(Data!G52:H52)))</f>
        <v>2</v>
      </c>
      <c r="F17" s="4">
        <f ca="1">IF(C17&gt;Data!$J$28,"-",IF(SUM(Data!I52:J52)=0,"-",SUM(Data!I52:J52)))</f>
        <v>4</v>
      </c>
      <c r="G17" s="11">
        <f t="shared" ca="1" si="0"/>
        <v>7</v>
      </c>
      <c r="H17" s="11">
        <f t="shared" ca="1" si="1"/>
        <v>3</v>
      </c>
      <c r="I17" s="4"/>
      <c r="K17" s="107" t="s">
        <v>99</v>
      </c>
      <c r="L17" s="107" t="s">
        <v>90</v>
      </c>
    </row>
    <row r="18" spans="2:12" x14ac:dyDescent="0.25">
      <c r="B18" s="59" t="s">
        <v>86</v>
      </c>
      <c r="C18" s="12">
        <v>16</v>
      </c>
      <c r="D18" s="54">
        <f ca="1">IF(C18&gt;Data!$J$28,"-",IF(SUM(Data!E53:F53)=0,"-",SUM(Data!E53:F53)))</f>
        <v>1</v>
      </c>
      <c r="E18" s="12">
        <f ca="1">IF(C18&gt;Data!$J$28,"-",IF(SUM(Data!G53:H53)=0,"-",SUM(Data!G53:H53)))</f>
        <v>2</v>
      </c>
      <c r="F18" s="9">
        <f ca="1">IF(C18&gt;Data!$J$28,"-",IF(SUM(Data!I53:J53)=0,"-",SUM(Data!I53:J53)))</f>
        <v>4</v>
      </c>
      <c r="G18" s="12">
        <f t="shared" ca="1" si="0"/>
        <v>7</v>
      </c>
      <c r="H18" s="12">
        <f t="shared" ca="1" si="1"/>
        <v>3</v>
      </c>
      <c r="I18" s="9"/>
      <c r="K18" s="59" t="s">
        <v>102</v>
      </c>
      <c r="L18" s="59" t="s">
        <v>86</v>
      </c>
    </row>
    <row r="19" spans="2:12" x14ac:dyDescent="0.25">
      <c r="B19" s="107" t="s">
        <v>99</v>
      </c>
      <c r="C19" s="11">
        <v>17</v>
      </c>
      <c r="D19" s="55">
        <f ca="1">IF(C19&gt;Data!$J$28,"-",IF(SUM(Data!E54:F54)=0,"-",SUM(Data!E54:F54)))</f>
        <v>1</v>
      </c>
      <c r="E19" s="11">
        <f ca="1">IF(C19&gt;Data!$J$28,"-",IF(SUM(Data!G54:H54)=0,"-",SUM(Data!G54:H54)))</f>
        <v>2</v>
      </c>
      <c r="F19" s="4">
        <f ca="1">IF(C19&gt;Data!$J$28,"-",IF(SUM(Data!I54:J54)=0,"-",SUM(Data!I54:J54)))</f>
        <v>4</v>
      </c>
      <c r="G19" s="11">
        <f t="shared" ca="1" si="0"/>
        <v>7</v>
      </c>
      <c r="H19" s="11">
        <f t="shared" ca="1" si="1"/>
        <v>3</v>
      </c>
      <c r="I19" s="4"/>
      <c r="K19" s="107" t="s">
        <v>94</v>
      </c>
      <c r="L19" s="107" t="s">
        <v>99</v>
      </c>
    </row>
    <row r="20" spans="2:12" x14ac:dyDescent="0.25">
      <c r="B20" s="59" t="s">
        <v>84</v>
      </c>
      <c r="C20" s="12">
        <v>18</v>
      </c>
      <c r="D20" s="54">
        <f ca="1">IF(C20&gt;Data!$J$28,"-",IF(SUM(Data!E55:F55)=0,"-",SUM(Data!E55:F55)))</f>
        <v>1</v>
      </c>
      <c r="E20" s="12">
        <f ca="1">IF(C20&gt;Data!$J$28,"-",IF(SUM(Data!G55:H55)=0,"-",SUM(Data!G55:H55)))</f>
        <v>2</v>
      </c>
      <c r="F20" s="9">
        <f ca="1">IF(C20&gt;Data!$J$28,"-",IF(SUM(Data!I55:J55)=0,"-",SUM(Data!I55:J55)))</f>
        <v>4</v>
      </c>
      <c r="G20" s="12">
        <f t="shared" ca="1" si="0"/>
        <v>7</v>
      </c>
      <c r="H20" s="12">
        <f t="shared" ca="1" si="1"/>
        <v>3</v>
      </c>
      <c r="I20" s="9"/>
      <c r="K20" s="59" t="s">
        <v>87</v>
      </c>
      <c r="L20" s="59" t="s">
        <v>84</v>
      </c>
    </row>
    <row r="21" spans="2:12" x14ac:dyDescent="0.25">
      <c r="B21" s="107" t="s">
        <v>95</v>
      </c>
      <c r="C21" s="11">
        <v>19</v>
      </c>
      <c r="D21" s="55">
        <f ca="1">IF(C21&gt;Data!$J$28,"-",IF(SUM(Data!E56:F56)=0,"-",SUM(Data!E56:F56)))</f>
        <v>2</v>
      </c>
      <c r="E21" s="11">
        <f ca="1">IF(C21&gt;Data!$J$28,"-",IF(SUM(Data!G56:H56)=0,"-",SUM(Data!G56:H56)))</f>
        <v>1</v>
      </c>
      <c r="F21" s="4">
        <f ca="1">IF(C21&gt;Data!$J$28,"-",IF(SUM(Data!I56:J56)=0,"-",SUM(Data!I56:J56)))</f>
        <v>4</v>
      </c>
      <c r="G21" s="11">
        <f t="shared" ca="1" si="0"/>
        <v>7</v>
      </c>
      <c r="H21" s="11">
        <f t="shared" ca="1" si="1"/>
        <v>3</v>
      </c>
      <c r="I21" s="4"/>
      <c r="K21" s="107" t="s">
        <v>96</v>
      </c>
      <c r="L21" s="107" t="s">
        <v>95</v>
      </c>
    </row>
    <row r="22" spans="2:12" x14ac:dyDescent="0.25">
      <c r="B22" s="59" t="s">
        <v>93</v>
      </c>
      <c r="C22" s="12">
        <v>20</v>
      </c>
      <c r="D22" s="54">
        <f ca="1">IF(C22&gt;Data!$J$28,"-",IF(SUM(Data!E57:F57)=0,"-",SUM(Data!E57:F57)))</f>
        <v>2</v>
      </c>
      <c r="E22" s="12">
        <f ca="1">IF(C22&gt;Data!$J$28,"-",IF(SUM(Data!G57:H57)=0,"-",SUM(Data!G57:H57)))</f>
        <v>1</v>
      </c>
      <c r="F22" s="9">
        <f ca="1">IF(C22&gt;Data!$J$28,"-",IF(SUM(Data!I57:J57)=0,"-",SUM(Data!I57:J57)))</f>
        <v>4</v>
      </c>
      <c r="G22" s="12">
        <f t="shared" ca="1" si="0"/>
        <v>7</v>
      </c>
      <c r="H22" s="12">
        <f t="shared" ca="1" si="1"/>
        <v>3</v>
      </c>
      <c r="I22" s="9"/>
      <c r="K22" s="59" t="s">
        <v>92</v>
      </c>
      <c r="L22" s="59" t="s">
        <v>93</v>
      </c>
    </row>
    <row r="23" spans="2:12" x14ac:dyDescent="0.25">
      <c r="B23" s="107" t="s">
        <v>97</v>
      </c>
      <c r="C23" s="11">
        <v>21</v>
      </c>
      <c r="D23" s="55">
        <f ca="1">IF(C23&gt;Data!$J$28,"-",IF(SUM(Data!E58:F58)=0,"-",SUM(Data!E58:F58)))</f>
        <v>2</v>
      </c>
      <c r="E23" s="11">
        <f ca="1">IF(C23&gt;Data!$J$28,"-",IF(SUM(Data!G58:H58)=0,"-",SUM(Data!G58:H58)))</f>
        <v>1</v>
      </c>
      <c r="F23" s="4">
        <f ca="1">IF(C23&gt;Data!$J$28,"-",IF(SUM(Data!I58:J58)=0,"-",SUM(Data!I58:J58)))</f>
        <v>5</v>
      </c>
      <c r="G23" s="11">
        <f t="shared" ca="1" si="0"/>
        <v>8</v>
      </c>
      <c r="H23" s="11">
        <f t="shared" ca="1" si="1"/>
        <v>3</v>
      </c>
      <c r="I23" s="4"/>
      <c r="K23" s="107" t="s">
        <v>88</v>
      </c>
      <c r="L23" s="107" t="s">
        <v>97</v>
      </c>
    </row>
    <row r="24" spans="2:12" x14ac:dyDescent="0.25">
      <c r="B24" s="59" t="s">
        <v>91</v>
      </c>
      <c r="C24" s="12">
        <v>22</v>
      </c>
      <c r="D24" s="54">
        <f ca="1">IF(C24&gt;Data!$J$28,"-",IF(SUM(Data!E59:F59)=0,"-",SUM(Data!E59:F59)))</f>
        <v>2</v>
      </c>
      <c r="E24" s="12">
        <f ca="1">IF(C24&gt;Data!$J$28,"-",IF(SUM(Data!G59:H59)=0,"-",SUM(Data!G59:H59)))</f>
        <v>1</v>
      </c>
      <c r="F24" s="9">
        <f ca="1">IF(C24&gt;Data!$J$28,"-",IF(SUM(Data!I59:J59)=0,"-",SUM(Data!I59:J59)))</f>
        <v>5</v>
      </c>
      <c r="G24" s="12">
        <f t="shared" ca="1" si="0"/>
        <v>8</v>
      </c>
      <c r="H24" s="12">
        <f t="shared" ca="1" si="1"/>
        <v>3</v>
      </c>
      <c r="I24" s="9"/>
      <c r="K24" s="59" t="s">
        <v>101</v>
      </c>
      <c r="L24" s="59" t="s">
        <v>91</v>
      </c>
    </row>
    <row r="25" spans="2:12" x14ac:dyDescent="0.25">
      <c r="B25" s="55"/>
      <c r="C25" s="11">
        <v>23</v>
      </c>
      <c r="D25" s="55" t="str">
        <f>IF(C25&gt;Data!$J$28,"-",IF(SUM(Data!E60:F60)=0,"-",SUM(Data!E60:F60)))</f>
        <v>-</v>
      </c>
      <c r="E25" s="11" t="str">
        <f>IF(C25&gt;Data!$J$28,"-",IF(SUM(Data!G60:H60)=0,"-",SUM(Data!G60:H60)))</f>
        <v>-</v>
      </c>
      <c r="F25" s="4" t="str">
        <f>IF(C25&gt;Data!$J$28,"-",IF(SUM(Data!I60:J60)=0,"-",SUM(Data!I60:J60)))</f>
        <v>-</v>
      </c>
      <c r="G25" s="11" t="str">
        <f t="shared" ref="G3:G31" si="2">IF(SUM(D25:F25)=0,"-",SUM(D25:F25))</f>
        <v>-</v>
      </c>
      <c r="H25" s="11" t="str">
        <f t="shared" ref="H3:H31" si="3">IF(SUM(D25:E25)=0,"-",SUM(D25:E25))</f>
        <v>-</v>
      </c>
      <c r="I25" s="4"/>
    </row>
    <row r="26" spans="2:12" x14ac:dyDescent="0.25">
      <c r="B26" s="54"/>
      <c r="C26" s="12">
        <v>24</v>
      </c>
      <c r="D26" s="54" t="str">
        <f>IF(C26&gt;Data!$J$28,"-",IF(SUM(Data!E61:F61)=0,"-",SUM(Data!E61:F61)))</f>
        <v>-</v>
      </c>
      <c r="E26" s="12" t="str">
        <f>IF(C26&gt;Data!$J$28,"-",IF(SUM(Data!G61:H61)=0,"-",SUM(Data!G61:H61)))</f>
        <v>-</v>
      </c>
      <c r="F26" s="9" t="str">
        <f>IF(C26&gt;Data!$J$28,"-",IF(SUM(Data!I61:J61)=0,"-",SUM(Data!I61:J61)))</f>
        <v>-</v>
      </c>
      <c r="G26" s="12" t="str">
        <f t="shared" si="2"/>
        <v>-</v>
      </c>
      <c r="H26" s="12" t="str">
        <f t="shared" si="3"/>
        <v>-</v>
      </c>
      <c r="I26" s="9"/>
    </row>
    <row r="27" spans="2:12" x14ac:dyDescent="0.25">
      <c r="B27" s="55"/>
      <c r="C27" s="11">
        <v>25</v>
      </c>
      <c r="D27" s="55" t="str">
        <f>IF(C27&gt;Data!$J$28,"-",IF(SUM(Data!E62:F62)=0,"-",SUM(Data!E62:F62)))</f>
        <v>-</v>
      </c>
      <c r="E27" s="11" t="str">
        <f>IF(C27&gt;Data!$J$28,"-",IF(SUM(Data!G62:H62)=0,"-",SUM(Data!G62:H62)))</f>
        <v>-</v>
      </c>
      <c r="F27" s="4" t="str">
        <f>IF(C27&gt;Data!$J$28,"-",IF(SUM(Data!I62:J62)=0,"-",SUM(Data!I62:J62)))</f>
        <v>-</v>
      </c>
      <c r="G27" s="11" t="str">
        <f t="shared" si="2"/>
        <v>-</v>
      </c>
      <c r="H27" s="11" t="str">
        <f t="shared" si="3"/>
        <v>-</v>
      </c>
      <c r="I27" s="4"/>
    </row>
    <row r="28" spans="2:12" x14ac:dyDescent="0.25">
      <c r="B28" s="54"/>
      <c r="C28" s="12">
        <v>26</v>
      </c>
      <c r="D28" s="54" t="str">
        <f>IF(C28&gt;Data!$J$28,"-",IF(SUM(Data!E63:F63)=0,"-",SUM(Data!E63:F63)))</f>
        <v>-</v>
      </c>
      <c r="E28" s="12" t="str">
        <f>IF(C28&gt;Data!$J$28,"-",IF(SUM(Data!G63:H63)=0,"-",SUM(Data!G63:H63)))</f>
        <v>-</v>
      </c>
      <c r="F28" s="9" t="str">
        <f>IF(C28&gt;Data!$J$28,"-",IF(SUM(Data!I63:J63)=0,"-",SUM(Data!I63:J63)))</f>
        <v>-</v>
      </c>
      <c r="G28" s="12" t="str">
        <f t="shared" si="2"/>
        <v>-</v>
      </c>
      <c r="H28" s="12" t="str">
        <f t="shared" si="3"/>
        <v>-</v>
      </c>
      <c r="I28" s="9"/>
    </row>
    <row r="29" spans="2:12" x14ac:dyDescent="0.25">
      <c r="B29" s="55"/>
      <c r="C29" s="11">
        <v>27</v>
      </c>
      <c r="D29" s="55" t="str">
        <f>IF(C29&gt;Data!$J$28,"-",IF(SUM(Data!E64:F64)=0,"-",SUM(Data!E64:F64)))</f>
        <v>-</v>
      </c>
      <c r="E29" s="11" t="str">
        <f>IF(C29&gt;Data!$J$28,"-",IF(SUM(Data!G64:H64)=0,"-",SUM(Data!G64:H64)))</f>
        <v>-</v>
      </c>
      <c r="F29" s="4" t="str">
        <f>IF(C29&gt;Data!$J$28,"-",IF(SUM(Data!I64:J64)=0,"-",SUM(Data!I64:J64)))</f>
        <v>-</v>
      </c>
      <c r="G29" s="11" t="str">
        <f t="shared" si="2"/>
        <v>-</v>
      </c>
      <c r="H29" s="11" t="str">
        <f t="shared" si="3"/>
        <v>-</v>
      </c>
      <c r="I29" s="4"/>
    </row>
    <row r="30" spans="2:12" x14ac:dyDescent="0.25">
      <c r="B30" s="54"/>
      <c r="C30" s="12">
        <v>28</v>
      </c>
      <c r="D30" s="54" t="str">
        <f>IF(C30&gt;Data!$J$28,"-",IF(SUM(Data!E65:F65)=0,"-",SUM(Data!E65:F65)))</f>
        <v>-</v>
      </c>
      <c r="E30" s="12" t="str">
        <f>IF(C30&gt;Data!$J$28,"-",IF(SUM(Data!G65:H65)=0,"-",SUM(Data!G65:H65)))</f>
        <v>-</v>
      </c>
      <c r="F30" s="9" t="str">
        <f>IF(C30&gt;Data!$J$28,"-",IF(SUM(Data!I65:J65)=0,"-",SUM(Data!I65:J65)))</f>
        <v>-</v>
      </c>
      <c r="G30" s="12" t="str">
        <f t="shared" si="2"/>
        <v>-</v>
      </c>
      <c r="H30" s="12" t="str">
        <f t="shared" si="3"/>
        <v>-</v>
      </c>
      <c r="I30" s="9"/>
    </row>
    <row r="31" spans="2:12" x14ac:dyDescent="0.25">
      <c r="B31" s="55"/>
      <c r="C31" s="11">
        <v>29</v>
      </c>
      <c r="D31" s="55" t="str">
        <f>IF(C31&gt;Data!$J$28,"-",IF(SUM(Data!E66:F66)=0,"-",SUM(Data!E66:F66)))</f>
        <v>-</v>
      </c>
      <c r="E31" s="11" t="str">
        <f>IF(C31&gt;Data!$J$28,"-",IF(SUM(Data!G66:H66)=0,"-",SUM(Data!G66:H66)))</f>
        <v>-</v>
      </c>
      <c r="F31" s="4" t="str">
        <f>IF(C31&gt;Data!$J$28,"-",IF(SUM(Data!I66:J66)=0,"-",SUM(Data!I66:J66)))</f>
        <v>-</v>
      </c>
      <c r="G31" s="11" t="str">
        <f t="shared" si="2"/>
        <v>-</v>
      </c>
      <c r="H31" s="11" t="str">
        <f t="shared" si="3"/>
        <v>-</v>
      </c>
      <c r="I31" s="4"/>
    </row>
    <row r="32" spans="2:12" x14ac:dyDescent="0.25">
      <c r="B32" s="56"/>
      <c r="C32" s="13">
        <v>30</v>
      </c>
      <c r="D32" s="56" t="str">
        <f>IF(C32&gt;Data!$J$28,"-",IF(SUM(Data!E67:F67)=0,"-",SUM(Data!E67:F67)))</f>
        <v>-</v>
      </c>
      <c r="E32" s="13" t="str">
        <f>IF(C32&gt;Data!$J$28,"-",IF(SUM(Data!G67:H67)=0,"-",SUM(Data!G67:H67)))</f>
        <v>-</v>
      </c>
      <c r="F32" s="10" t="str">
        <f>IF(C32&gt;Data!$J$28,"-",IF(SUM(Data!I67:J67)=0,"-",SUM(Data!I67:J67)))</f>
        <v>-</v>
      </c>
      <c r="G32" s="13" t="str">
        <f>IF(SUM(D32:F32)=0,"-",SUM(D32:F32))</f>
        <v>-</v>
      </c>
      <c r="H32" s="13" t="str">
        <f>IF(SUM(D32:E32)=0,"-",SUM(D32:E32))</f>
        <v>-</v>
      </c>
      <c r="I32" s="10"/>
    </row>
    <row r="34" spans="1:8" x14ac:dyDescent="0.25">
      <c r="C34" t="s">
        <v>107</v>
      </c>
      <c r="H34" t="s">
        <v>105</v>
      </c>
    </row>
    <row r="35" spans="1:8" x14ac:dyDescent="0.25">
      <c r="A35">
        <v>0</v>
      </c>
      <c r="B35" s="105" t="s">
        <v>89</v>
      </c>
      <c r="C35">
        <v>11</v>
      </c>
      <c r="D35" t="b">
        <v>1</v>
      </c>
      <c r="E35" s="104">
        <v>0.35849056603773582</v>
      </c>
      <c r="F35" s="104">
        <v>0.42767295597484273</v>
      </c>
      <c r="G35" s="104">
        <v>6.9182389937106917E-2</v>
      </c>
      <c r="H35">
        <v>1</v>
      </c>
    </row>
    <row r="36" spans="1:8" x14ac:dyDescent="0.25">
      <c r="A36">
        <v>0</v>
      </c>
      <c r="B36" t="s">
        <v>88</v>
      </c>
      <c r="C36">
        <v>11</v>
      </c>
      <c r="D36" t="b">
        <v>1</v>
      </c>
      <c r="E36" s="104">
        <v>0.31081081081081086</v>
      </c>
      <c r="F36" s="104">
        <v>0.3851351351351352</v>
      </c>
      <c r="G36" s="104">
        <v>7.4324324324324328E-2</v>
      </c>
      <c r="H36">
        <v>2</v>
      </c>
    </row>
    <row r="37" spans="1:8" x14ac:dyDescent="0.25">
      <c r="A37">
        <v>0</v>
      </c>
      <c r="B37" s="105" t="s">
        <v>85</v>
      </c>
      <c r="C37">
        <v>5</v>
      </c>
      <c r="D37" t="b">
        <v>1</v>
      </c>
      <c r="E37" s="104">
        <v>0.18248175182481752</v>
      </c>
      <c r="F37" s="104">
        <v>0.21897810218978103</v>
      </c>
      <c r="G37" s="104">
        <v>3.6496350364963501E-2</v>
      </c>
      <c r="H37">
        <v>3</v>
      </c>
    </row>
    <row r="38" spans="1:8" x14ac:dyDescent="0.25">
      <c r="A38">
        <v>0</v>
      </c>
      <c r="B38" t="s">
        <v>100</v>
      </c>
      <c r="C38">
        <v>8</v>
      </c>
      <c r="D38" t="b">
        <v>1</v>
      </c>
      <c r="E38" s="104">
        <v>0.8181818181818179</v>
      </c>
      <c r="F38" s="104">
        <v>0.87878787878787845</v>
      </c>
      <c r="G38" s="104">
        <v>6.0606060606060608E-2</v>
      </c>
      <c r="H38">
        <v>4</v>
      </c>
    </row>
    <row r="39" spans="1:8" x14ac:dyDescent="0.25">
      <c r="A39">
        <v>0</v>
      </c>
      <c r="B39" s="105" t="s">
        <v>83</v>
      </c>
      <c r="C39">
        <v>6</v>
      </c>
      <c r="D39" t="b">
        <v>1</v>
      </c>
      <c r="E39" s="104">
        <v>0.10483870967741934</v>
      </c>
      <c r="F39" s="104">
        <v>0.15322580645161288</v>
      </c>
      <c r="G39" s="104">
        <v>4.8387096774193547E-2</v>
      </c>
      <c r="H39">
        <v>5</v>
      </c>
    </row>
    <row r="40" spans="1:8" x14ac:dyDescent="0.25">
      <c r="A40">
        <v>0</v>
      </c>
      <c r="B40" t="s">
        <v>92</v>
      </c>
      <c r="C40">
        <v>10</v>
      </c>
      <c r="D40" t="b">
        <v>1</v>
      </c>
      <c r="E40" s="104">
        <v>0.3559322033898305</v>
      </c>
      <c r="F40" s="104">
        <v>0.44067796610169491</v>
      </c>
      <c r="G40" s="104">
        <v>8.4745762711864403E-2</v>
      </c>
      <c r="H40">
        <v>6</v>
      </c>
    </row>
    <row r="41" spans="1:8" x14ac:dyDescent="0.25">
      <c r="A41">
        <v>0</v>
      </c>
      <c r="B41" s="105" t="s">
        <v>96</v>
      </c>
      <c r="C41">
        <v>9</v>
      </c>
      <c r="D41" t="b">
        <v>1</v>
      </c>
      <c r="E41" s="104">
        <v>0.52777777777777779</v>
      </c>
      <c r="F41" s="104">
        <v>0.61111111111111116</v>
      </c>
      <c r="G41" s="104">
        <v>8.3333333333333329E-2</v>
      </c>
      <c r="H41">
        <v>7</v>
      </c>
    </row>
    <row r="42" spans="1:8" x14ac:dyDescent="0.25">
      <c r="A42">
        <v>0</v>
      </c>
      <c r="B42" t="s">
        <v>94</v>
      </c>
      <c r="C42">
        <v>10</v>
      </c>
      <c r="D42" t="b">
        <v>1</v>
      </c>
      <c r="E42" s="104">
        <v>0.45454545454545447</v>
      </c>
      <c r="F42" s="104">
        <v>0.55555555555555547</v>
      </c>
      <c r="G42" s="104">
        <v>0.10101010101010101</v>
      </c>
      <c r="H42">
        <v>8</v>
      </c>
    </row>
    <row r="43" spans="1:8" x14ac:dyDescent="0.25">
      <c r="A43">
        <v>0</v>
      </c>
      <c r="B43" s="105" t="s">
        <v>98</v>
      </c>
      <c r="C43">
        <v>9</v>
      </c>
      <c r="D43" t="b">
        <v>1</v>
      </c>
      <c r="E43" s="104">
        <v>0.6292134831460674</v>
      </c>
      <c r="F43" s="104">
        <v>0.7303370786516854</v>
      </c>
      <c r="G43" s="104">
        <v>0.10112359550561797</v>
      </c>
      <c r="H43">
        <v>9</v>
      </c>
    </row>
    <row r="44" spans="1:8" x14ac:dyDescent="0.25">
      <c r="A44">
        <v>0</v>
      </c>
      <c r="B44" t="s">
        <v>82</v>
      </c>
      <c r="C44">
        <v>6</v>
      </c>
      <c r="D44" t="b">
        <v>1</v>
      </c>
      <c r="E44" s="104">
        <v>8.7499999999999994E-2</v>
      </c>
      <c r="F44" s="104">
        <v>0.16249999999999998</v>
      </c>
      <c r="G44" s="104">
        <v>7.4999999999999997E-2</v>
      </c>
      <c r="H44">
        <v>10</v>
      </c>
    </row>
    <row r="45" spans="1:8" x14ac:dyDescent="0.25">
      <c r="A45">
        <v>3</v>
      </c>
      <c r="B45" s="105" t="s">
        <v>87</v>
      </c>
      <c r="C45">
        <v>11</v>
      </c>
      <c r="D45" t="b">
        <v>1</v>
      </c>
      <c r="E45" s="104">
        <v>0.24324324324324326</v>
      </c>
      <c r="F45" s="104">
        <v>0.39189189189189189</v>
      </c>
      <c r="G45" s="104">
        <v>0.14864864864864866</v>
      </c>
      <c r="H45">
        <v>11</v>
      </c>
    </row>
    <row r="46" spans="1:8" x14ac:dyDescent="0.25">
      <c r="A46">
        <v>3</v>
      </c>
      <c r="B46" t="s">
        <v>81</v>
      </c>
      <c r="C46">
        <v>7</v>
      </c>
      <c r="D46" t="b">
        <v>1</v>
      </c>
      <c r="E46" s="104">
        <v>0</v>
      </c>
      <c r="F46" s="104">
        <v>0.1111111111111111</v>
      </c>
      <c r="G46" s="104">
        <v>0.1111111111111111</v>
      </c>
      <c r="H46">
        <v>12</v>
      </c>
    </row>
    <row r="47" spans="1:8" x14ac:dyDescent="0.25">
      <c r="A47">
        <v>3</v>
      </c>
      <c r="B47" s="105" t="s">
        <v>101</v>
      </c>
      <c r="C47">
        <v>8</v>
      </c>
      <c r="D47" t="b">
        <v>1</v>
      </c>
      <c r="E47" s="104">
        <v>0.71428571428571419</v>
      </c>
      <c r="F47" s="104">
        <v>0.85714285714285698</v>
      </c>
      <c r="G47" s="104">
        <v>0.14285714285714285</v>
      </c>
      <c r="H47">
        <v>13</v>
      </c>
    </row>
    <row r="48" spans="1:8" x14ac:dyDescent="0.25">
      <c r="A48">
        <v>3</v>
      </c>
      <c r="B48" t="s">
        <v>102</v>
      </c>
      <c r="C48">
        <v>8</v>
      </c>
      <c r="D48" t="b">
        <v>1</v>
      </c>
      <c r="E48" s="104">
        <v>0.83333333333333337</v>
      </c>
      <c r="F48" s="104">
        <v>1</v>
      </c>
      <c r="G48" s="104">
        <v>0.16666666666666666</v>
      </c>
      <c r="H48">
        <v>14</v>
      </c>
    </row>
    <row r="49" spans="1:8" x14ac:dyDescent="0.25">
      <c r="A49">
        <v>3</v>
      </c>
      <c r="B49" s="105" t="s">
        <v>90</v>
      </c>
      <c r="C49">
        <v>4</v>
      </c>
      <c r="D49" t="b">
        <v>1</v>
      </c>
      <c r="E49" s="104">
        <v>0.27500000000000002</v>
      </c>
      <c r="F49" s="104">
        <v>0.375</v>
      </c>
      <c r="G49" s="104">
        <v>0.1</v>
      </c>
      <c r="H49">
        <v>15</v>
      </c>
    </row>
    <row r="50" spans="1:8" x14ac:dyDescent="0.25">
      <c r="A50">
        <v>3</v>
      </c>
      <c r="B50" t="s">
        <v>86</v>
      </c>
      <c r="C50">
        <v>5</v>
      </c>
      <c r="D50" t="b">
        <v>1</v>
      </c>
      <c r="E50" s="104">
        <v>0.16666666666666666</v>
      </c>
      <c r="F50" s="104">
        <v>0.30555555555555558</v>
      </c>
      <c r="G50" s="104">
        <v>0.1388888888888889</v>
      </c>
      <c r="H50">
        <v>16</v>
      </c>
    </row>
    <row r="51" spans="1:8" x14ac:dyDescent="0.25">
      <c r="A51">
        <v>3</v>
      </c>
      <c r="B51" s="105" t="s">
        <v>99</v>
      </c>
      <c r="C51">
        <v>8</v>
      </c>
      <c r="D51" t="b">
        <v>1</v>
      </c>
      <c r="E51" s="104">
        <v>0.74193548387096775</v>
      </c>
      <c r="F51" s="104">
        <v>1</v>
      </c>
      <c r="G51" s="104">
        <v>0.25806451612903225</v>
      </c>
      <c r="H51">
        <v>17</v>
      </c>
    </row>
    <row r="52" spans="1:8" x14ac:dyDescent="0.25">
      <c r="A52">
        <v>3</v>
      </c>
      <c r="B52" t="s">
        <v>84</v>
      </c>
      <c r="C52">
        <v>6</v>
      </c>
      <c r="D52" t="b">
        <v>1</v>
      </c>
      <c r="E52" s="104">
        <v>0</v>
      </c>
      <c r="F52" s="104">
        <v>0.2608695652173913</v>
      </c>
      <c r="G52" s="104">
        <v>0.2608695652173913</v>
      </c>
      <c r="H52">
        <v>18</v>
      </c>
    </row>
    <row r="53" spans="1:8" x14ac:dyDescent="0.25">
      <c r="A53">
        <v>3</v>
      </c>
      <c r="B53" s="105" t="s">
        <v>95</v>
      </c>
      <c r="C53">
        <v>2</v>
      </c>
      <c r="D53" t="b">
        <v>1</v>
      </c>
      <c r="E53" s="104">
        <v>0.35294117647058826</v>
      </c>
      <c r="F53" s="104">
        <v>0.47058823529411764</v>
      </c>
      <c r="G53" s="104">
        <v>0.11764705882352941</v>
      </c>
      <c r="H53">
        <v>19</v>
      </c>
    </row>
    <row r="54" spans="1:8" x14ac:dyDescent="0.25">
      <c r="A54">
        <v>3</v>
      </c>
      <c r="B54" t="s">
        <v>93</v>
      </c>
      <c r="C54">
        <v>3</v>
      </c>
      <c r="D54" t="b">
        <v>1</v>
      </c>
      <c r="E54" s="104">
        <v>0.2</v>
      </c>
      <c r="F54" s="104">
        <v>0.4</v>
      </c>
      <c r="G54" s="104">
        <v>0.2</v>
      </c>
      <c r="H54">
        <v>20</v>
      </c>
    </row>
    <row r="55" spans="1:8" x14ac:dyDescent="0.25">
      <c r="A55">
        <v>3</v>
      </c>
      <c r="B55" s="105" t="s">
        <v>97</v>
      </c>
      <c r="C55">
        <v>9</v>
      </c>
      <c r="D55" t="b">
        <v>1</v>
      </c>
      <c r="E55" s="104">
        <v>0.25</v>
      </c>
      <c r="F55" s="104">
        <v>1</v>
      </c>
      <c r="G55" s="104">
        <v>0.75</v>
      </c>
      <c r="H55">
        <v>21</v>
      </c>
    </row>
    <row r="56" spans="1:8" x14ac:dyDescent="0.25">
      <c r="A56">
        <v>3</v>
      </c>
      <c r="B56" t="s">
        <v>91</v>
      </c>
      <c r="C56">
        <v>3</v>
      </c>
      <c r="D56" t="b">
        <v>1</v>
      </c>
      <c r="E56" s="104">
        <v>0</v>
      </c>
      <c r="F56" s="104">
        <v>1</v>
      </c>
      <c r="G56" s="104">
        <v>1</v>
      </c>
      <c r="H56">
        <v>22</v>
      </c>
    </row>
    <row r="57" spans="1:8" x14ac:dyDescent="0.25">
      <c r="E57" s="104"/>
      <c r="F57" s="104"/>
      <c r="G57" s="104"/>
    </row>
    <row r="58" spans="1:8" x14ac:dyDescent="0.25">
      <c r="F58" s="10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ift_Roster">
                <anchor moveWithCells="1" sizeWithCells="1">
                  <from>
                    <xdr:col>12</xdr:col>
                    <xdr:colOff>476250</xdr:colOff>
                    <xdr:row>2</xdr:row>
                    <xdr:rowOff>28575</xdr:rowOff>
                  </from>
                  <to>
                    <xdr:col>13</xdr:col>
                    <xdr:colOff>600075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160"/>
  <sheetViews>
    <sheetView workbookViewId="0">
      <selection activeCell="E9" sqref="E9"/>
    </sheetView>
  </sheetViews>
  <sheetFormatPr defaultRowHeight="15" x14ac:dyDescent="0.25"/>
  <cols>
    <col min="1" max="1" width="5.140625" customWidth="1"/>
    <col min="2" max="2" width="4.42578125" style="2" customWidth="1"/>
    <col min="3" max="3" width="26" style="36" customWidth="1"/>
    <col min="4" max="5" width="9.140625" style="2"/>
    <col min="9" max="9" width="10.5703125" customWidth="1"/>
    <col min="10" max="10" width="10.85546875" customWidth="1"/>
  </cols>
  <sheetData>
    <row r="1" spans="2:16" x14ac:dyDescent="0.25">
      <c r="F1" s="2"/>
    </row>
    <row r="2" spans="2:16" x14ac:dyDescent="0.25">
      <c r="B2" s="38" t="s">
        <v>31</v>
      </c>
      <c r="C2" s="39" t="s">
        <v>24</v>
      </c>
      <c r="D2" s="40" t="s">
        <v>30</v>
      </c>
      <c r="E2" s="103" t="s">
        <v>103</v>
      </c>
      <c r="F2" s="40" t="s">
        <v>44</v>
      </c>
      <c r="G2" s="2"/>
      <c r="I2" s="16" t="s">
        <v>18</v>
      </c>
      <c r="M2" s="50" t="s">
        <v>45</v>
      </c>
      <c r="N2" s="50"/>
      <c r="O2" s="50"/>
      <c r="P2" s="30"/>
    </row>
    <row r="3" spans="2:16" x14ac:dyDescent="0.25">
      <c r="B3" s="28">
        <v>1</v>
      </c>
      <c r="C3" s="41" t="s">
        <v>81</v>
      </c>
      <c r="D3" s="27">
        <v>7</v>
      </c>
      <c r="E3" s="26">
        <f ca="1">IFERROR(IF(VLOOKUP(C3,'Employee View'!B3:H32,7,FALSE)&lt;VLOOKUP('Employee View'!$L$3,'Employee View'!C3:H32,6,FALSE),0,'Employee View'!$N$9),0)</f>
        <v>0</v>
      </c>
      <c r="F3" s="26">
        <f ca="1">SUM(D3:E3)</f>
        <v>7</v>
      </c>
      <c r="H3" s="31" t="s">
        <v>36</v>
      </c>
      <c r="I3" s="31"/>
      <c r="J3" s="31"/>
    </row>
    <row r="4" spans="2:16" x14ac:dyDescent="0.25">
      <c r="B4" s="28">
        <v>2</v>
      </c>
      <c r="C4" s="41" t="s">
        <v>82</v>
      </c>
      <c r="D4" s="28">
        <v>6</v>
      </c>
      <c r="E4" s="23">
        <f ca="1">IFERROR(IF(VLOOKUP(C4,'Employee View'!B4:H33,7,FALSE)&lt;VLOOKUP('Employee View'!$L$3,'Employee View'!C4:H33,6,FALSE),0,'Employee View'!$N$9),0)</f>
        <v>0</v>
      </c>
      <c r="F4" s="23">
        <f t="shared" ref="F4:F32" ca="1" si="0">SUM(D4:E4)</f>
        <v>6</v>
      </c>
      <c r="H4" s="32" t="s">
        <v>0</v>
      </c>
      <c r="I4" s="32" t="s">
        <v>1</v>
      </c>
      <c r="J4" s="32" t="s">
        <v>16</v>
      </c>
      <c r="L4" s="51" t="s">
        <v>47</v>
      </c>
      <c r="M4" s="52" t="s">
        <v>48</v>
      </c>
    </row>
    <row r="5" spans="2:16" x14ac:dyDescent="0.25">
      <c r="B5" s="28">
        <v>3</v>
      </c>
      <c r="C5" s="41" t="s">
        <v>83</v>
      </c>
      <c r="D5" s="28">
        <v>6</v>
      </c>
      <c r="E5" s="23">
        <f ca="1">IFERROR(IF(VLOOKUP(C5,'Employee View'!B5:H34,7,FALSE)&lt;VLOOKUP('Employee View'!$L$3,'Employee View'!C5:H34,6,FALSE),0,'Employee View'!$N$9),0)</f>
        <v>0</v>
      </c>
      <c r="F5" s="23">
        <f t="shared" ca="1" si="0"/>
        <v>6</v>
      </c>
      <c r="H5" s="31">
        <f ca="1">MOD(L30,J28)</f>
        <v>4</v>
      </c>
      <c r="I5" s="31">
        <f ca="1">MOD(M30,J28)</f>
        <v>4</v>
      </c>
      <c r="J5" s="31">
        <f ca="1">MOD(N30,J28)</f>
        <v>16</v>
      </c>
      <c r="M5" t="s">
        <v>50</v>
      </c>
    </row>
    <row r="6" spans="2:16" x14ac:dyDescent="0.25">
      <c r="B6" s="28">
        <v>4</v>
      </c>
      <c r="C6" s="41" t="s">
        <v>84</v>
      </c>
      <c r="D6" s="28">
        <v>6</v>
      </c>
      <c r="E6" s="23">
        <f ca="1">IFERROR(IF(VLOOKUP(C6,'Employee View'!B6:H35,7,FALSE)&lt;VLOOKUP('Employee View'!$L$3,'Employee View'!C6:H35,6,FALSE),0,'Employee View'!$N$9),0)</f>
        <v>7</v>
      </c>
      <c r="F6" s="23">
        <f t="shared" ca="1" si="0"/>
        <v>13</v>
      </c>
      <c r="M6" t="s">
        <v>49</v>
      </c>
    </row>
    <row r="7" spans="2:16" x14ac:dyDescent="0.25">
      <c r="B7" s="28">
        <v>5</v>
      </c>
      <c r="C7" s="41" t="s">
        <v>85</v>
      </c>
      <c r="D7" s="28">
        <v>5</v>
      </c>
      <c r="E7" s="23">
        <f ca="1">IFERROR(IF(VLOOKUP(C7,'Employee View'!B7:H36,7,FALSE)&lt;VLOOKUP('Employee View'!$L$3,'Employee View'!C7:H36,6,FALSE),0,'Employee View'!$N$9),0)</f>
        <v>0</v>
      </c>
      <c r="F7" s="23">
        <f t="shared" ca="1" si="0"/>
        <v>5</v>
      </c>
      <c r="H7" s="46" t="s">
        <v>26</v>
      </c>
      <c r="I7" s="31"/>
      <c r="J7" s="31">
        <f ca="1">J28-L30</f>
        <v>-4</v>
      </c>
    </row>
    <row r="8" spans="2:16" x14ac:dyDescent="0.25">
      <c r="B8" s="28">
        <v>6</v>
      </c>
      <c r="C8" s="41" t="s">
        <v>86</v>
      </c>
      <c r="D8" s="28">
        <v>5</v>
      </c>
      <c r="E8" s="23">
        <f ca="1">IFERROR(IF(VLOOKUP(C8,'Employee View'!B8:H37,7,FALSE)&lt;VLOOKUP('Employee View'!$L$3,'Employee View'!C8:H37,6,FALSE),0,'Employee View'!$N$9),0)</f>
        <v>7</v>
      </c>
      <c r="F8" s="23">
        <f t="shared" ca="1" si="0"/>
        <v>12</v>
      </c>
      <c r="H8" s="31" t="s">
        <v>27</v>
      </c>
      <c r="I8" s="31"/>
      <c r="J8" s="31">
        <f ca="1">J28-M30</f>
        <v>-4</v>
      </c>
    </row>
    <row r="9" spans="2:16" x14ac:dyDescent="0.25">
      <c r="B9" s="28">
        <v>7</v>
      </c>
      <c r="C9" s="41" t="s">
        <v>87</v>
      </c>
      <c r="D9" s="28">
        <v>4</v>
      </c>
      <c r="E9" s="23">
        <f ca="1">IFERROR(IF(VLOOKUP(C9,'Employee View'!B9:H38,7,FALSE)&lt;VLOOKUP('Employee View'!$L$3,'Employee View'!C9:H38,6,FALSE),0,'Employee View'!$N$9),0)</f>
        <v>0</v>
      </c>
      <c r="F9" s="23">
        <f t="shared" ca="1" si="0"/>
        <v>4</v>
      </c>
      <c r="H9" s="31" t="s">
        <v>29</v>
      </c>
      <c r="I9" s="31"/>
      <c r="J9" s="31">
        <f ca="1">INT(M30/J28)</f>
        <v>1</v>
      </c>
    </row>
    <row r="10" spans="2:16" x14ac:dyDescent="0.25">
      <c r="B10" s="28">
        <v>8</v>
      </c>
      <c r="C10" s="41" t="s">
        <v>88</v>
      </c>
      <c r="D10" s="28">
        <v>4</v>
      </c>
      <c r="E10" s="23">
        <f ca="1">IFERROR(IF(VLOOKUP(C10,'Employee View'!B10:H39,7,FALSE)&lt;VLOOKUP('Employee View'!$L$3,'Employee View'!C10:H39,6,FALSE),0,'Employee View'!$N$9),0)</f>
        <v>0</v>
      </c>
      <c r="F10" s="23">
        <f t="shared" ca="1" si="0"/>
        <v>4</v>
      </c>
      <c r="H10" s="31" t="s">
        <v>28</v>
      </c>
      <c r="I10" s="31"/>
      <c r="J10" s="31">
        <f ca="1">INT(L30/J28)</f>
        <v>1</v>
      </c>
      <c r="L10" s="53"/>
    </row>
    <row r="11" spans="2:16" x14ac:dyDescent="0.25">
      <c r="B11" s="28">
        <v>9</v>
      </c>
      <c r="C11" s="41" t="s">
        <v>89</v>
      </c>
      <c r="D11" s="28">
        <v>4</v>
      </c>
      <c r="E11" s="23">
        <f ca="1">IFERROR(IF(VLOOKUP(C11,'Employee View'!B11:H40,7,FALSE)&lt;VLOOKUP('Employee View'!$L$3,'Employee View'!C11:H40,6,FALSE),0,'Employee View'!$N$9),0)</f>
        <v>0</v>
      </c>
      <c r="F11" s="23">
        <f t="shared" ca="1" si="0"/>
        <v>4</v>
      </c>
      <c r="H11" s="31" t="s">
        <v>37</v>
      </c>
      <c r="J11" s="31">
        <f ca="1">J28-H5</f>
        <v>18</v>
      </c>
      <c r="L11" s="53"/>
    </row>
    <row r="12" spans="2:16" x14ac:dyDescent="0.25">
      <c r="B12" s="28">
        <v>10</v>
      </c>
      <c r="C12" s="41" t="s">
        <v>90</v>
      </c>
      <c r="D12" s="28">
        <v>4</v>
      </c>
      <c r="E12" s="23">
        <f ca="1">IFERROR(IF(VLOOKUP(C12,'Employee View'!B12:H41,7,FALSE)&lt;VLOOKUP('Employee View'!$L$3,'Employee View'!C12:H41,6,FALSE),0,'Employee View'!$N$9),0)</f>
        <v>7</v>
      </c>
      <c r="F12" s="23">
        <f t="shared" ca="1" si="0"/>
        <v>11</v>
      </c>
      <c r="H12" s="31" t="s">
        <v>38</v>
      </c>
      <c r="J12">
        <f ca="1">$J$28-$H$5-$I$5</f>
        <v>14</v>
      </c>
    </row>
    <row r="13" spans="2:16" x14ac:dyDescent="0.25">
      <c r="B13" s="28">
        <v>11</v>
      </c>
      <c r="C13" s="41" t="s">
        <v>91</v>
      </c>
      <c r="D13" s="28">
        <v>3</v>
      </c>
      <c r="E13" s="23">
        <f ca="1">IFERROR(IF(VLOOKUP(C13,'Employee View'!B13:H42,7,FALSE)&lt;VLOOKUP('Employee View'!$L$3,'Employee View'!C13:H42,6,FALSE),0,'Employee View'!$N$9),0)</f>
        <v>7</v>
      </c>
      <c r="F13" s="23">
        <f t="shared" ca="1" si="0"/>
        <v>10</v>
      </c>
      <c r="H13" s="31" t="s">
        <v>39</v>
      </c>
      <c r="J13">
        <f ca="1">J28-L30+J28-M30</f>
        <v>-8</v>
      </c>
    </row>
    <row r="14" spans="2:16" x14ac:dyDescent="0.25">
      <c r="B14" s="28">
        <v>12</v>
      </c>
      <c r="C14" s="41" t="s">
        <v>92</v>
      </c>
      <c r="D14" s="28">
        <v>3</v>
      </c>
      <c r="E14" s="23">
        <f ca="1">IFERROR(IF(VLOOKUP(C14,'Employee View'!B14:H43,7,FALSE)&lt;VLOOKUP('Employee View'!$L$3,'Employee View'!C14:H43,6,FALSE),0,'Employee View'!$N$9),0)</f>
        <v>7</v>
      </c>
      <c r="F14" s="23">
        <f t="shared" ca="1" si="0"/>
        <v>10</v>
      </c>
      <c r="H14" s="31" t="s">
        <v>40</v>
      </c>
      <c r="J14">
        <f ca="1">I5-(J28-H5)</f>
        <v>-14</v>
      </c>
    </row>
    <row r="15" spans="2:16" x14ac:dyDescent="0.25">
      <c r="B15" s="28">
        <v>13</v>
      </c>
      <c r="C15" s="41" t="s">
        <v>93</v>
      </c>
      <c r="D15" s="28">
        <v>3</v>
      </c>
      <c r="E15" s="23">
        <f ca="1">IFERROR(IF(VLOOKUP(C15,'Employee View'!B15:H44,7,FALSE)&lt;VLOOKUP('Employee View'!$L$3,'Employee View'!C15:H44,6,FALSE),0,'Employee View'!$N$9),0)</f>
        <v>7</v>
      </c>
      <c r="F15" s="23">
        <f t="shared" ca="1" si="0"/>
        <v>10</v>
      </c>
      <c r="H15" s="31" t="s">
        <v>41</v>
      </c>
      <c r="J15">
        <f ca="1">J28-H5</f>
        <v>18</v>
      </c>
    </row>
    <row r="16" spans="2:16" x14ac:dyDescent="0.25">
      <c r="B16" s="28">
        <v>14</v>
      </c>
      <c r="C16" s="41" t="s">
        <v>94</v>
      </c>
      <c r="D16" s="28">
        <v>3</v>
      </c>
      <c r="E16" s="23">
        <f ca="1">IFERROR(IF(VLOOKUP(C16,'Employee View'!B16:H45,7,FALSE)&lt;VLOOKUP('Employee View'!$L$3,'Employee View'!C16:H45,6,FALSE),0,'Employee View'!$N$9),0)</f>
        <v>7</v>
      </c>
      <c r="F16" s="23">
        <f t="shared" ca="1" si="0"/>
        <v>10</v>
      </c>
      <c r="H16" s="31" t="s">
        <v>42</v>
      </c>
      <c r="J16">
        <f ca="1">J28-I5</f>
        <v>18</v>
      </c>
    </row>
    <row r="17" spans="2:14" x14ac:dyDescent="0.25">
      <c r="B17" s="28">
        <v>15</v>
      </c>
      <c r="C17" s="41" t="s">
        <v>95</v>
      </c>
      <c r="D17" s="28">
        <v>2</v>
      </c>
      <c r="E17" s="23">
        <f ca="1">IFERROR(IF(VLOOKUP(C17,'Employee View'!B17:H46,7,FALSE)&lt;VLOOKUP('Employee View'!$L$3,'Employee View'!C17:H46,6,FALSE),0,'Employee View'!$N$9),0)</f>
        <v>7</v>
      </c>
      <c r="F17" s="23">
        <f t="shared" ca="1" si="0"/>
        <v>9</v>
      </c>
      <c r="H17" s="31" t="s">
        <v>43</v>
      </c>
      <c r="J17">
        <f ca="1">J28-(J28-J16-J15)</f>
        <v>36</v>
      </c>
    </row>
    <row r="18" spans="2:14" x14ac:dyDescent="0.25">
      <c r="B18" s="28">
        <v>16</v>
      </c>
      <c r="C18" s="41" t="s">
        <v>96</v>
      </c>
      <c r="D18" s="28">
        <v>2</v>
      </c>
      <c r="E18" s="23">
        <f ca="1">IFERROR(IF(VLOOKUP(C18,'Employee View'!B18:H47,7,FALSE)&lt;VLOOKUP('Employee View'!$L$3,'Employee View'!C18:H47,6,FALSE),0,'Employee View'!$N$9),0)</f>
        <v>7</v>
      </c>
      <c r="F18" s="23">
        <f t="shared" ca="1" si="0"/>
        <v>9</v>
      </c>
    </row>
    <row r="19" spans="2:14" x14ac:dyDescent="0.25">
      <c r="B19" s="28">
        <v>17</v>
      </c>
      <c r="C19" s="41" t="s">
        <v>97</v>
      </c>
      <c r="D19" s="28">
        <v>2</v>
      </c>
      <c r="E19" s="23">
        <f ca="1">IFERROR(IF(VLOOKUP(C19,'Employee View'!B19:H48,7,FALSE)&lt;VLOOKUP('Employee View'!$L$3,'Employee View'!C19:H48,6,FALSE),0,'Employee View'!$N$9),0)</f>
        <v>7</v>
      </c>
      <c r="F19" s="23">
        <f t="shared" ca="1" si="0"/>
        <v>9</v>
      </c>
    </row>
    <row r="20" spans="2:14" x14ac:dyDescent="0.25">
      <c r="B20" s="28">
        <v>18</v>
      </c>
      <c r="C20" s="41" t="s">
        <v>98</v>
      </c>
      <c r="D20" s="28">
        <v>2</v>
      </c>
      <c r="E20" s="23">
        <f ca="1">IFERROR(IF(VLOOKUP(C20,'Employee View'!B20:H49,7,FALSE)&lt;VLOOKUP('Employee View'!$L$3,'Employee View'!C20:H49,6,FALSE),0,'Employee View'!$N$9),0)</f>
        <v>7</v>
      </c>
      <c r="F20" s="23">
        <f t="shared" ca="1" si="0"/>
        <v>9</v>
      </c>
      <c r="H20" s="31"/>
    </row>
    <row r="21" spans="2:14" x14ac:dyDescent="0.25">
      <c r="B21" s="28">
        <v>19</v>
      </c>
      <c r="C21" s="41" t="s">
        <v>99</v>
      </c>
      <c r="D21" s="28">
        <v>1</v>
      </c>
      <c r="E21" s="23">
        <f ca="1">IFERROR(IF(VLOOKUP(C21,'Employee View'!B21:H50,7,FALSE)&lt;VLOOKUP('Employee View'!$L$3,'Employee View'!C21:H50,6,FALSE),0,'Employee View'!$N$9),0)</f>
        <v>0</v>
      </c>
      <c r="F21" s="23">
        <f t="shared" ca="1" si="0"/>
        <v>1</v>
      </c>
      <c r="H21" s="31"/>
    </row>
    <row r="22" spans="2:14" x14ac:dyDescent="0.25">
      <c r="B22" s="28">
        <v>20</v>
      </c>
      <c r="C22" s="41" t="s">
        <v>100</v>
      </c>
      <c r="D22" s="28">
        <v>1</v>
      </c>
      <c r="E22" s="23">
        <f ca="1">IFERROR(IF(VLOOKUP(C22,'Employee View'!B22:H51,7,FALSE)&lt;VLOOKUP('Employee View'!$L$3,'Employee View'!C22:H51,6,FALSE),0,'Employee View'!$N$9),0)</f>
        <v>7</v>
      </c>
      <c r="F22" s="23">
        <f t="shared" ca="1" si="0"/>
        <v>8</v>
      </c>
    </row>
    <row r="23" spans="2:14" x14ac:dyDescent="0.25">
      <c r="B23" s="28">
        <v>21</v>
      </c>
      <c r="C23" s="41" t="s">
        <v>101</v>
      </c>
      <c r="D23" s="28">
        <v>1</v>
      </c>
      <c r="E23" s="23">
        <f ca="1">IFERROR(IF(VLOOKUP(C23,'Employee View'!B23:H52,7,FALSE)&lt;VLOOKUP('Employee View'!$L$3,'Employee View'!C23:H52,6,FALSE),0,'Employee View'!$N$9),0)</f>
        <v>7</v>
      </c>
      <c r="F23" s="23">
        <f t="shared" ca="1" si="0"/>
        <v>8</v>
      </c>
    </row>
    <row r="24" spans="2:14" x14ac:dyDescent="0.25">
      <c r="B24" s="28">
        <v>22</v>
      </c>
      <c r="C24" s="41" t="s">
        <v>102</v>
      </c>
      <c r="D24" s="28">
        <v>1</v>
      </c>
      <c r="E24" s="23">
        <f ca="1">IFERROR(IF(VLOOKUP(C24,'Employee View'!B24:H53,7,FALSE)&lt;VLOOKUP('Employee View'!$L$3,'Employee View'!C24:H53,6,FALSE),0,'Employee View'!$N$9),0)</f>
        <v>7</v>
      </c>
      <c r="F24" s="23">
        <f t="shared" ca="1" si="0"/>
        <v>8</v>
      </c>
      <c r="H24" s="43" t="s">
        <v>19</v>
      </c>
      <c r="I24" s="16"/>
      <c r="J24" s="1">
        <f>'Employee View'!L5</f>
        <v>42826</v>
      </c>
      <c r="L24" s="16" t="s">
        <v>33</v>
      </c>
      <c r="M24" s="16"/>
      <c r="N24" s="2"/>
    </row>
    <row r="25" spans="2:14" x14ac:dyDescent="0.25">
      <c r="B25" s="28">
        <v>23</v>
      </c>
      <c r="C25" s="41"/>
      <c r="D25" s="28">
        <v>0</v>
      </c>
      <c r="E25" s="23">
        <f>IFERROR(IF(VLOOKUP(C25,'Employee View'!B25:H54,7,FALSE)&lt;VLOOKUP('Employee View'!$L$3,'Employee View'!C25:H54,6,FALSE),0,'Employee View'!$N$9),0)</f>
        <v>0</v>
      </c>
      <c r="F25" s="23">
        <f t="shared" si="0"/>
        <v>0</v>
      </c>
      <c r="L25" s="33" t="s">
        <v>0</v>
      </c>
      <c r="N25" s="2">
        <v>1</v>
      </c>
    </row>
    <row r="26" spans="2:14" x14ac:dyDescent="0.25">
      <c r="B26" s="28">
        <v>24</v>
      </c>
      <c r="C26" s="41"/>
      <c r="D26" s="28">
        <v>0</v>
      </c>
      <c r="E26" s="23">
        <f>IFERROR(IF(VLOOKUP(C26,'Employee View'!B26:H55,7,FALSE)&lt;VLOOKUP('Employee View'!$L$3,'Employee View'!C26:H55,6,FALSE),0,'Employee View'!$N$9),0)</f>
        <v>0</v>
      </c>
      <c r="F26" s="23">
        <f t="shared" si="0"/>
        <v>0</v>
      </c>
      <c r="H26" s="16" t="s">
        <v>20</v>
      </c>
      <c r="I26" s="16"/>
      <c r="J26" s="1">
        <f>'Employee View'!L7</f>
        <v>42916</v>
      </c>
      <c r="L26" s="33" t="s">
        <v>14</v>
      </c>
      <c r="N26" s="2">
        <v>2</v>
      </c>
    </row>
    <row r="27" spans="2:14" x14ac:dyDescent="0.25">
      <c r="B27" s="28">
        <v>25</v>
      </c>
      <c r="C27" s="41"/>
      <c r="D27" s="28">
        <v>0</v>
      </c>
      <c r="E27" s="23">
        <f>IFERROR(IF(VLOOKUP(C27,'Employee View'!B27:H56,7,FALSE)&lt;VLOOKUP('Employee View'!$L$3,'Employee View'!C27:H56,6,FALSE),0,'Employee View'!$N$9),0)</f>
        <v>0</v>
      </c>
      <c r="F27" s="23">
        <f t="shared" si="0"/>
        <v>0</v>
      </c>
    </row>
    <row r="28" spans="2:14" x14ac:dyDescent="0.25">
      <c r="B28" s="28">
        <v>26</v>
      </c>
      <c r="C28" s="41"/>
      <c r="D28" s="28">
        <v>0</v>
      </c>
      <c r="E28" s="23">
        <f>IFERROR(IF(VLOOKUP(C28,'Employee View'!B28:H57,7,FALSE)&lt;VLOOKUP('Employee View'!$L$3,'Employee View'!C28:H57,6,FALSE),0,'Employee View'!$N$9),0)</f>
        <v>0</v>
      </c>
      <c r="F28" s="23">
        <f t="shared" si="0"/>
        <v>0</v>
      </c>
      <c r="H28" s="16" t="s">
        <v>32</v>
      </c>
      <c r="I28" s="16"/>
      <c r="J28" s="2">
        <f>'Employee View'!L3</f>
        <v>22</v>
      </c>
      <c r="L28" s="16" t="s">
        <v>23</v>
      </c>
    </row>
    <row r="29" spans="2:14" x14ac:dyDescent="0.25">
      <c r="B29" s="28">
        <v>27</v>
      </c>
      <c r="C29" s="41"/>
      <c r="D29" s="28">
        <v>0</v>
      </c>
      <c r="E29" s="23">
        <f>IFERROR(IF(VLOOKUP(C29,'Employee View'!B29:H58,7,FALSE)&lt;VLOOKUP('Employee View'!$L$3,'Employee View'!C29:H58,6,FALSE),0,'Employee View'!$N$9),0)</f>
        <v>0</v>
      </c>
      <c r="F29" s="23">
        <f t="shared" si="0"/>
        <v>0</v>
      </c>
      <c r="L29" s="2" t="s">
        <v>0</v>
      </c>
      <c r="M29" s="2" t="s">
        <v>9</v>
      </c>
      <c r="N29" s="2" t="s">
        <v>16</v>
      </c>
    </row>
    <row r="30" spans="2:14" x14ac:dyDescent="0.25">
      <c r="B30" s="28">
        <v>28</v>
      </c>
      <c r="C30" s="41"/>
      <c r="D30" s="28">
        <v>0</v>
      </c>
      <c r="E30" s="23">
        <f>IFERROR(IF(VLOOKUP(C30,'Employee View'!B30:H59,7,FALSE)&lt;VLOOKUP('Employee View'!$L$3,'Employee View'!C30:H59,6,FALSE),0,'Employee View'!$N$9),0)</f>
        <v>0</v>
      </c>
      <c r="F30" s="23">
        <f t="shared" si="0"/>
        <v>0</v>
      </c>
      <c r="L30" s="2">
        <f ca="1">N25*(L33+M33)</f>
        <v>26</v>
      </c>
      <c r="M30" s="2">
        <f ca="1">K33*N26</f>
        <v>26</v>
      </c>
      <c r="N30" s="2">
        <f ca="1">SUM(G33:J33)*N26</f>
        <v>104</v>
      </c>
    </row>
    <row r="31" spans="2:14" x14ac:dyDescent="0.25">
      <c r="B31" s="28">
        <v>29</v>
      </c>
      <c r="C31" s="41"/>
      <c r="D31" s="28">
        <v>0</v>
      </c>
      <c r="E31" s="23">
        <f>IFERROR(IF(VLOOKUP(C31,'Employee View'!B31:H60,7,FALSE)&lt;VLOOKUP('Employee View'!$L$3,'Employee View'!C31:H60,6,FALSE),0,'Employee View'!$N$9),0)</f>
        <v>0</v>
      </c>
      <c r="F31" s="23">
        <f t="shared" si="0"/>
        <v>0</v>
      </c>
      <c r="H31" s="16" t="s">
        <v>22</v>
      </c>
      <c r="I31" s="16"/>
    </row>
    <row r="32" spans="2:14" x14ac:dyDescent="0.25">
      <c r="B32" s="29">
        <v>30</v>
      </c>
      <c r="C32" s="42"/>
      <c r="D32" s="29">
        <v>0</v>
      </c>
      <c r="E32" s="24">
        <f>IFERROR(IF(VLOOKUP(C32,'Employee View'!B32:H61,7,FALSE)&lt;VLOOKUP('Employee View'!$L$3,'Employee View'!C32:H61,6,FALSE),0,'Employee View'!$N$9),0)</f>
        <v>0</v>
      </c>
      <c r="F32" s="24">
        <f t="shared" si="0"/>
        <v>0</v>
      </c>
      <c r="H32" s="2" t="s">
        <v>10</v>
      </c>
      <c r="I32" s="2" t="s">
        <v>11</v>
      </c>
      <c r="J32" s="2" t="s">
        <v>12</v>
      </c>
      <c r="K32" s="2" t="s">
        <v>13</v>
      </c>
      <c r="L32" s="2" t="s">
        <v>9</v>
      </c>
      <c r="M32" s="2" t="s">
        <v>7</v>
      </c>
      <c r="N32" s="2" t="s">
        <v>8</v>
      </c>
    </row>
    <row r="33" spans="3:15" x14ac:dyDescent="0.25">
      <c r="C33" s="37"/>
      <c r="G33" s="2">
        <f ca="1">SUMPRODUCT(N(TEXT(ROW(INDIRECT(J24&amp;":"&amp;EOMONTH(J26,0))),"ddd")="Mon"))</f>
        <v>13</v>
      </c>
      <c r="H33" s="2">
        <f ca="1">SUMPRODUCT(N(TEXT(ROW(INDIRECT(J24&amp;":"&amp;EOMONTH(J26,0))),"ddd")="Tue"))</f>
        <v>13</v>
      </c>
      <c r="I33" s="2">
        <f ca="1">SUMPRODUCT(N(TEXT(ROW(INDIRECT(J24&amp;":"&amp;EOMONTH(J26,0))),"ddd")="Wed"))</f>
        <v>13</v>
      </c>
      <c r="J33" s="2">
        <f ca="1">SUMPRODUCT(N(TEXT(ROW(INDIRECT(J24&amp;":"&amp;EOMONTH(J26,0))),"ddd")="Thu"))</f>
        <v>13</v>
      </c>
      <c r="K33" s="2">
        <f ca="1">SUMPRODUCT(N(TEXT(ROW(INDIRECT(J24&amp;":"&amp;EOMONTH(J26,0))),"ddd")="Fri"))</f>
        <v>13</v>
      </c>
      <c r="L33" s="2">
        <f ca="1">SUMPRODUCT(N(TEXT(ROW(INDIRECT(J24&amp;":"&amp;EOMONTH(J26,0))),"ddd")="Sat"))</f>
        <v>13</v>
      </c>
      <c r="M33" s="2">
        <f ca="1">SUMPRODUCT(N(TEXT(ROW(INDIRECT(J24&amp;":"&amp;EOMONTH(J26,0))),"ddd")="Sun"))</f>
        <v>13</v>
      </c>
    </row>
    <row r="34" spans="3:15" x14ac:dyDescent="0.25">
      <c r="F34" s="2"/>
    </row>
    <row r="36" spans="3:15" x14ac:dyDescent="0.25">
      <c r="D36" s="18" t="s">
        <v>34</v>
      </c>
      <c r="E36" s="101" t="s">
        <v>0</v>
      </c>
      <c r="F36" s="102"/>
      <c r="G36" s="101" t="s">
        <v>1</v>
      </c>
      <c r="H36" s="102"/>
      <c r="I36" s="101" t="s">
        <v>16</v>
      </c>
      <c r="J36" s="99"/>
      <c r="K36" s="99"/>
      <c r="L36" s="99"/>
      <c r="M36" s="100"/>
      <c r="N36" s="22" t="s">
        <v>5</v>
      </c>
      <c r="O36" s="22" t="s">
        <v>2</v>
      </c>
    </row>
    <row r="37" spans="3:15" x14ac:dyDescent="0.25">
      <c r="D37" s="19" t="s">
        <v>6</v>
      </c>
      <c r="E37" s="47" t="s">
        <v>3</v>
      </c>
      <c r="F37" s="21" t="s">
        <v>4</v>
      </c>
      <c r="G37" s="19" t="s">
        <v>3</v>
      </c>
      <c r="H37" s="49" t="s">
        <v>4</v>
      </c>
      <c r="I37" s="19" t="s">
        <v>3</v>
      </c>
      <c r="J37" s="25" t="s">
        <v>4</v>
      </c>
      <c r="K37" s="20" t="s">
        <v>15</v>
      </c>
      <c r="L37" s="44" t="s">
        <v>25</v>
      </c>
      <c r="M37" s="45" t="s">
        <v>35</v>
      </c>
      <c r="N37" s="48"/>
      <c r="O37" s="48"/>
    </row>
    <row r="38" spans="3:15" x14ac:dyDescent="0.25">
      <c r="D38" s="28">
        <v>1</v>
      </c>
      <c r="E38" s="26">
        <f t="shared" ref="E38:E67" ca="1" si="1">IF($J$28&gt;$L$30,IF(D38&lt;= ($J$28-$L$30),"-",IF(D38&gt;$J$28,"-",INT($J$28/$L$30))),IF(D38&gt;$J$28,"-",$J$10))</f>
        <v>1</v>
      </c>
      <c r="F38" s="3" t="str">
        <f ca="1">IF($J$28&gt;Data!$L$30,"-",IF(D38&lt;=($J$28-$H$5),"-",IF(D38&gt;$J$28,"-",1)))</f>
        <v>-</v>
      </c>
      <c r="G38" s="26">
        <f t="shared" ref="G38:G67" ca="1" si="2">IF($J$28&gt;$M$30,IF(D38&lt;=($J$7),IF(D38&gt;$J$28,"-",1),IF(D38&gt;($J$7+$J$8),IF(D38&gt;$J$28,"-",1),"-")),IF(D38&gt;$J$28,"-",$J$9))</f>
        <v>1</v>
      </c>
      <c r="H38" s="26" t="str">
        <f t="shared" ref="H38:H67" ca="1" si="3">IF($J$28&gt;$L$30,"-",IF(D38&lt;=($J$11-$I$5),"-",IF(D38&gt;($J$11),IF(D38&lt;=($J$11*2),"-",IF(D38&gt;$J$28,"-",IF($I$5=0,"-",1))),1)))</f>
        <v>-</v>
      </c>
      <c r="I38" s="27">
        <f t="shared" ref="I38:I67" ca="1" si="4">IF($J$28&gt;$N$30,IF(D38&lt;= ($J$28-$N$30),0,IF(D38&gt;$J$28,"-",INT($J$28/$N$30))),IF(D38&gt;$J$28,"-",INT($N$30/$J$28)))</f>
        <v>4</v>
      </c>
      <c r="J38" s="26">
        <f t="shared" ref="J38:J67" ca="1" si="5">IF($J$5&lt;=$J$12,IF(D38&lt;=$J$5,1,"-"),IF($J$5&lt;=$J$13,1,IF(D38&lt;=($J$28-($J$28-$J$12)),1,IF(D38&lt;=($J$28-$J$5+$J$12),"-",IF(D38&gt;$J$28,"-",IF(D38&gt;$J$28-$J$14,IF(D38&gt;$J$17,IF(D38&lt;=($J$28-($J$5-($J$28-$J$14))),"-",IF(D38&gt;$J$28,"-",1))),IF(D38&gt;$J$28,"-",1)))))))</f>
        <v>1</v>
      </c>
      <c r="K38" s="2"/>
      <c r="L38" s="26"/>
      <c r="M38" s="27"/>
      <c r="N38" s="27">
        <f t="shared" ref="N38:N67" ca="1" si="6">IF(D38&gt;$J$28,"-",SUM(E38:M38))</f>
        <v>7</v>
      </c>
      <c r="O38" s="26">
        <f t="shared" ref="O38:O67" ca="1" si="7">IF(D38&gt;$J$28,"-",SUM(E38:H38))</f>
        <v>2</v>
      </c>
    </row>
    <row r="39" spans="3:15" x14ac:dyDescent="0.25">
      <c r="D39" s="28">
        <v>2</v>
      </c>
      <c r="E39" s="23">
        <f t="shared" ca="1" si="1"/>
        <v>1</v>
      </c>
      <c r="F39" s="6" t="str">
        <f ca="1">IF($J$28&gt;Data!$L$30,"-",IF(D39&lt;=($J$28-$H$5),"-",IF(D39&gt;$J$28,"-",1)))</f>
        <v>-</v>
      </c>
      <c r="G39" s="23">
        <f t="shared" ca="1" si="2"/>
        <v>1</v>
      </c>
      <c r="H39" s="23" t="str">
        <f t="shared" ca="1" si="3"/>
        <v>-</v>
      </c>
      <c r="I39" s="28">
        <f t="shared" ca="1" si="4"/>
        <v>4</v>
      </c>
      <c r="J39" s="23">
        <f t="shared" ca="1" si="5"/>
        <v>1</v>
      </c>
      <c r="K39" s="5"/>
      <c r="L39" s="23"/>
      <c r="M39" s="28"/>
      <c r="N39" s="28">
        <f t="shared" ca="1" si="6"/>
        <v>7</v>
      </c>
      <c r="O39" s="23">
        <f t="shared" ca="1" si="7"/>
        <v>2</v>
      </c>
    </row>
    <row r="40" spans="3:15" x14ac:dyDescent="0.25">
      <c r="D40" s="28">
        <v>3</v>
      </c>
      <c r="E40" s="23">
        <f t="shared" ca="1" si="1"/>
        <v>1</v>
      </c>
      <c r="F40" s="6" t="str">
        <f ca="1">IF($J$28&gt;Data!$L$30,"-",IF(D40&lt;=($J$28-$H$5),"-",IF(D40&gt;$J$28,"-",1)))</f>
        <v>-</v>
      </c>
      <c r="G40" s="23">
        <f t="shared" ca="1" si="2"/>
        <v>1</v>
      </c>
      <c r="H40" s="23" t="str">
        <f t="shared" ca="1" si="3"/>
        <v>-</v>
      </c>
      <c r="I40" s="28">
        <f t="shared" ca="1" si="4"/>
        <v>4</v>
      </c>
      <c r="J40" s="23">
        <f t="shared" ca="1" si="5"/>
        <v>1</v>
      </c>
      <c r="K40" s="5"/>
      <c r="L40" s="23"/>
      <c r="M40" s="28"/>
      <c r="N40" s="28">
        <f t="shared" ca="1" si="6"/>
        <v>7</v>
      </c>
      <c r="O40" s="23">
        <f t="shared" ca="1" si="7"/>
        <v>2</v>
      </c>
    </row>
    <row r="41" spans="3:15" x14ac:dyDescent="0.25">
      <c r="C41" s="37"/>
      <c r="D41" s="23">
        <v>4</v>
      </c>
      <c r="E41" s="23">
        <f t="shared" ca="1" si="1"/>
        <v>1</v>
      </c>
      <c r="F41" s="6" t="str">
        <f ca="1">IF($J$28&gt;Data!$L$30,"-",IF(D41&lt;=($J$28-$H$5),"-",IF(D41&gt;$J$28,"-",1)))</f>
        <v>-</v>
      </c>
      <c r="G41" s="23">
        <f t="shared" ca="1" si="2"/>
        <v>1</v>
      </c>
      <c r="H41" s="23" t="str">
        <f t="shared" ca="1" si="3"/>
        <v>-</v>
      </c>
      <c r="I41" s="28">
        <f t="shared" ca="1" si="4"/>
        <v>4</v>
      </c>
      <c r="J41" s="23">
        <f t="shared" ca="1" si="5"/>
        <v>1</v>
      </c>
      <c r="K41" s="5"/>
      <c r="L41" s="23"/>
      <c r="M41" s="28"/>
      <c r="N41" s="28">
        <f t="shared" ca="1" si="6"/>
        <v>7</v>
      </c>
      <c r="O41" s="23">
        <f t="shared" ca="1" si="7"/>
        <v>2</v>
      </c>
    </row>
    <row r="42" spans="3:15" x14ac:dyDescent="0.25">
      <c r="C42" s="37"/>
      <c r="D42" s="23">
        <v>5</v>
      </c>
      <c r="E42" s="23">
        <f t="shared" ca="1" si="1"/>
        <v>1</v>
      </c>
      <c r="F42" s="6" t="str">
        <f ca="1">IF($J$28&gt;Data!$L$30,"-",IF(D42&lt;=($J$28-$H$5),"-",IF(D42&gt;$J$28,"-",1)))</f>
        <v>-</v>
      </c>
      <c r="G42" s="23">
        <f t="shared" ca="1" si="2"/>
        <v>1</v>
      </c>
      <c r="H42" s="23" t="str">
        <f t="shared" ca="1" si="3"/>
        <v>-</v>
      </c>
      <c r="I42" s="28">
        <f t="shared" ca="1" si="4"/>
        <v>4</v>
      </c>
      <c r="J42" s="23">
        <f t="shared" ca="1" si="5"/>
        <v>1</v>
      </c>
      <c r="K42" s="5"/>
      <c r="L42" s="23"/>
      <c r="M42" s="28"/>
      <c r="N42" s="28">
        <f t="shared" ca="1" si="6"/>
        <v>7</v>
      </c>
      <c r="O42" s="23">
        <f t="shared" ca="1" si="7"/>
        <v>2</v>
      </c>
    </row>
    <row r="43" spans="3:15" x14ac:dyDescent="0.25">
      <c r="D43" s="28">
        <v>6</v>
      </c>
      <c r="E43" s="23">
        <f t="shared" ca="1" si="1"/>
        <v>1</v>
      </c>
      <c r="F43" s="6" t="str">
        <f ca="1">IF($J$28&gt;Data!$L$30,"-",IF(D43&lt;=($J$28-$H$5),"-",IF(D43&gt;$J$28,"-",1)))</f>
        <v>-</v>
      </c>
      <c r="G43" s="23">
        <f t="shared" ca="1" si="2"/>
        <v>1</v>
      </c>
      <c r="H43" s="23" t="str">
        <f t="shared" ca="1" si="3"/>
        <v>-</v>
      </c>
      <c r="I43" s="28">
        <f t="shared" ca="1" si="4"/>
        <v>4</v>
      </c>
      <c r="J43" s="23">
        <f t="shared" ca="1" si="5"/>
        <v>1</v>
      </c>
      <c r="K43" s="5"/>
      <c r="L43" s="23"/>
      <c r="M43" s="28"/>
      <c r="N43" s="28">
        <f t="shared" ca="1" si="6"/>
        <v>7</v>
      </c>
      <c r="O43" s="23">
        <f t="shared" ca="1" si="7"/>
        <v>2</v>
      </c>
    </row>
    <row r="44" spans="3:15" x14ac:dyDescent="0.25">
      <c r="D44" s="28">
        <v>7</v>
      </c>
      <c r="E44" s="23">
        <f t="shared" ca="1" si="1"/>
        <v>1</v>
      </c>
      <c r="F44" s="6" t="str">
        <f ca="1">IF($J$28&gt;Data!$L$30,"-",IF(D44&lt;=($J$28-$H$5),"-",IF(D44&gt;$J$28,"-",1)))</f>
        <v>-</v>
      </c>
      <c r="G44" s="23">
        <f t="shared" ca="1" si="2"/>
        <v>1</v>
      </c>
      <c r="H44" s="23" t="str">
        <f t="shared" ca="1" si="3"/>
        <v>-</v>
      </c>
      <c r="I44" s="28">
        <f t="shared" ca="1" si="4"/>
        <v>4</v>
      </c>
      <c r="J44" s="23">
        <f t="shared" ca="1" si="5"/>
        <v>1</v>
      </c>
      <c r="K44" s="5"/>
      <c r="L44" s="23"/>
      <c r="M44" s="28"/>
      <c r="N44" s="28">
        <f t="shared" ca="1" si="6"/>
        <v>7</v>
      </c>
      <c r="O44" s="23">
        <f t="shared" ca="1" si="7"/>
        <v>2</v>
      </c>
    </row>
    <row r="45" spans="3:15" x14ac:dyDescent="0.25">
      <c r="D45" s="28">
        <v>8</v>
      </c>
      <c r="E45" s="23">
        <f t="shared" ca="1" si="1"/>
        <v>1</v>
      </c>
      <c r="F45" s="6" t="str">
        <f ca="1">IF($J$28&gt;Data!$L$30,"-",IF(D45&lt;=($J$28-$H$5),"-",IF(D45&gt;$J$28,"-",1)))</f>
        <v>-</v>
      </c>
      <c r="G45" s="23">
        <f t="shared" ca="1" si="2"/>
        <v>1</v>
      </c>
      <c r="H45" s="23" t="str">
        <f t="shared" ca="1" si="3"/>
        <v>-</v>
      </c>
      <c r="I45" s="28">
        <f t="shared" ca="1" si="4"/>
        <v>4</v>
      </c>
      <c r="J45" s="23">
        <f t="shared" ca="1" si="5"/>
        <v>1</v>
      </c>
      <c r="K45" s="5"/>
      <c r="L45" s="23"/>
      <c r="M45" s="28"/>
      <c r="N45" s="28">
        <f t="shared" ca="1" si="6"/>
        <v>7</v>
      </c>
      <c r="O45" s="23">
        <f t="shared" ca="1" si="7"/>
        <v>2</v>
      </c>
    </row>
    <row r="46" spans="3:15" x14ac:dyDescent="0.25">
      <c r="D46" s="28">
        <v>9</v>
      </c>
      <c r="E46" s="23">
        <f t="shared" ca="1" si="1"/>
        <v>1</v>
      </c>
      <c r="F46" s="6" t="str">
        <f ca="1">IF($J$28&gt;Data!$L$30,"-",IF(D46&lt;=($J$28-$H$5),"-",IF(D46&gt;$J$28,"-",1)))</f>
        <v>-</v>
      </c>
      <c r="G46" s="23">
        <f t="shared" ca="1" si="2"/>
        <v>1</v>
      </c>
      <c r="H46" s="23" t="str">
        <f t="shared" ca="1" si="3"/>
        <v>-</v>
      </c>
      <c r="I46" s="28">
        <f t="shared" ca="1" si="4"/>
        <v>4</v>
      </c>
      <c r="J46" s="23">
        <f t="shared" ca="1" si="5"/>
        <v>1</v>
      </c>
      <c r="K46" s="5"/>
      <c r="L46" s="23"/>
      <c r="M46" s="28"/>
      <c r="N46" s="28">
        <f t="shared" ca="1" si="6"/>
        <v>7</v>
      </c>
      <c r="O46" s="23">
        <f t="shared" ca="1" si="7"/>
        <v>2</v>
      </c>
    </row>
    <row r="47" spans="3:15" x14ac:dyDescent="0.25">
      <c r="D47" s="28">
        <v>10</v>
      </c>
      <c r="E47" s="23">
        <f t="shared" ca="1" si="1"/>
        <v>1</v>
      </c>
      <c r="F47" s="6" t="str">
        <f ca="1">IF($J$28&gt;Data!$L$30,"-",IF(D47&lt;=($J$28-$H$5),"-",IF(D47&gt;$J$28,"-",1)))</f>
        <v>-</v>
      </c>
      <c r="G47" s="23">
        <f t="shared" ca="1" si="2"/>
        <v>1</v>
      </c>
      <c r="H47" s="23" t="str">
        <f t="shared" ca="1" si="3"/>
        <v>-</v>
      </c>
      <c r="I47" s="28">
        <f t="shared" ca="1" si="4"/>
        <v>4</v>
      </c>
      <c r="J47" s="23">
        <f t="shared" ca="1" si="5"/>
        <v>1</v>
      </c>
      <c r="K47" s="5"/>
      <c r="L47" s="23"/>
      <c r="M47" s="28"/>
      <c r="N47" s="28">
        <f t="shared" ca="1" si="6"/>
        <v>7</v>
      </c>
      <c r="O47" s="23">
        <f t="shared" ca="1" si="7"/>
        <v>2</v>
      </c>
    </row>
    <row r="48" spans="3:15" x14ac:dyDescent="0.25">
      <c r="D48" s="28">
        <v>11</v>
      </c>
      <c r="E48" s="23">
        <f t="shared" ca="1" si="1"/>
        <v>1</v>
      </c>
      <c r="F48" s="6" t="str">
        <f ca="1">IF($J$28&gt;Data!$L$30,"-",IF(D48&lt;=($J$28-$H$5),"-",IF(D48&gt;$J$28,"-",1)))</f>
        <v>-</v>
      </c>
      <c r="G48" s="23">
        <f t="shared" ca="1" si="2"/>
        <v>1</v>
      </c>
      <c r="H48" s="23" t="str">
        <f t="shared" ca="1" si="3"/>
        <v>-</v>
      </c>
      <c r="I48" s="28">
        <f t="shared" ca="1" si="4"/>
        <v>4</v>
      </c>
      <c r="J48" s="23">
        <f t="shared" ca="1" si="5"/>
        <v>1</v>
      </c>
      <c r="K48" s="5"/>
      <c r="L48" s="23"/>
      <c r="M48" s="28"/>
      <c r="N48" s="28">
        <f t="shared" ca="1" si="6"/>
        <v>7</v>
      </c>
      <c r="O48" s="23">
        <f t="shared" ca="1" si="7"/>
        <v>2</v>
      </c>
    </row>
    <row r="49" spans="4:15" x14ac:dyDescent="0.25">
      <c r="D49" s="28">
        <v>12</v>
      </c>
      <c r="E49" s="23">
        <f t="shared" ca="1" si="1"/>
        <v>1</v>
      </c>
      <c r="F49" s="6" t="str">
        <f ca="1">IF($J$28&gt;Data!$L$30,"-",IF(D49&lt;=($J$28-$H$5),"-",IF(D49&gt;$J$28,"-",1)))</f>
        <v>-</v>
      </c>
      <c r="G49" s="23">
        <f t="shared" ca="1" si="2"/>
        <v>1</v>
      </c>
      <c r="H49" s="23" t="str">
        <f t="shared" ca="1" si="3"/>
        <v>-</v>
      </c>
      <c r="I49" s="28">
        <f t="shared" ca="1" si="4"/>
        <v>4</v>
      </c>
      <c r="J49" s="23">
        <f t="shared" ca="1" si="5"/>
        <v>1</v>
      </c>
      <c r="K49" s="5"/>
      <c r="L49" s="23"/>
      <c r="M49" s="28"/>
      <c r="N49" s="28">
        <f t="shared" ca="1" si="6"/>
        <v>7</v>
      </c>
      <c r="O49" s="23">
        <f t="shared" ca="1" si="7"/>
        <v>2</v>
      </c>
    </row>
    <row r="50" spans="4:15" x14ac:dyDescent="0.25">
      <c r="D50" s="28">
        <v>13</v>
      </c>
      <c r="E50" s="23">
        <f t="shared" ca="1" si="1"/>
        <v>1</v>
      </c>
      <c r="F50" s="6" t="str">
        <f ca="1">IF($J$28&gt;Data!$L$30,"-",IF(D50&lt;=($J$28-$H$5),"-",IF(D50&gt;$J$28,"-",1)))</f>
        <v>-</v>
      </c>
      <c r="G50" s="23">
        <f t="shared" ca="1" si="2"/>
        <v>1</v>
      </c>
      <c r="H50" s="23" t="str">
        <f t="shared" ca="1" si="3"/>
        <v>-</v>
      </c>
      <c r="I50" s="28">
        <f t="shared" ca="1" si="4"/>
        <v>4</v>
      </c>
      <c r="J50" s="23">
        <f t="shared" ca="1" si="5"/>
        <v>1</v>
      </c>
      <c r="K50" s="5"/>
      <c r="L50" s="23"/>
      <c r="M50" s="28"/>
      <c r="N50" s="28">
        <f t="shared" ca="1" si="6"/>
        <v>7</v>
      </c>
      <c r="O50" s="23">
        <f t="shared" ca="1" si="7"/>
        <v>2</v>
      </c>
    </row>
    <row r="51" spans="4:15" x14ac:dyDescent="0.25">
      <c r="D51" s="28">
        <v>14</v>
      </c>
      <c r="E51" s="23">
        <f t="shared" ca="1" si="1"/>
        <v>1</v>
      </c>
      <c r="F51" s="6" t="str">
        <f ca="1">IF($J$28&gt;Data!$L$30,"-",IF(D51&lt;=($J$28-$H$5),"-",IF(D51&gt;$J$28,"-",1)))</f>
        <v>-</v>
      </c>
      <c r="G51" s="23">
        <f t="shared" ca="1" si="2"/>
        <v>1</v>
      </c>
      <c r="H51" s="23" t="str">
        <f t="shared" ca="1" si="3"/>
        <v>-</v>
      </c>
      <c r="I51" s="28">
        <f t="shared" ca="1" si="4"/>
        <v>4</v>
      </c>
      <c r="J51" s="23">
        <f t="shared" ca="1" si="5"/>
        <v>1</v>
      </c>
      <c r="K51" s="5"/>
      <c r="L51" s="23"/>
      <c r="M51" s="28"/>
      <c r="N51" s="28">
        <f t="shared" ca="1" si="6"/>
        <v>7</v>
      </c>
      <c r="O51" s="23">
        <f t="shared" ca="1" si="7"/>
        <v>2</v>
      </c>
    </row>
    <row r="52" spans="4:15" x14ac:dyDescent="0.25">
      <c r="D52" s="28">
        <v>15</v>
      </c>
      <c r="E52" s="23">
        <f t="shared" ca="1" si="1"/>
        <v>1</v>
      </c>
      <c r="F52" s="6" t="str">
        <f ca="1">IF($J$28&gt;Data!$L$30,"-",IF(D52&lt;=($J$28-$H$5),"-",IF(D52&gt;$J$28,"-",1)))</f>
        <v>-</v>
      </c>
      <c r="G52" s="23">
        <f t="shared" ca="1" si="2"/>
        <v>1</v>
      </c>
      <c r="H52" s="23">
        <f t="shared" ca="1" si="3"/>
        <v>1</v>
      </c>
      <c r="I52" s="28">
        <f t="shared" ca="1" si="4"/>
        <v>4</v>
      </c>
      <c r="J52" s="23" t="str">
        <f t="shared" ca="1" si="5"/>
        <v>-</v>
      </c>
      <c r="K52" s="5"/>
      <c r="L52" s="23"/>
      <c r="M52" s="28"/>
      <c r="N52" s="28">
        <f t="shared" ca="1" si="6"/>
        <v>7</v>
      </c>
      <c r="O52" s="23">
        <f t="shared" ca="1" si="7"/>
        <v>3</v>
      </c>
    </row>
    <row r="53" spans="4:15" x14ac:dyDescent="0.25">
      <c r="D53" s="28">
        <v>16</v>
      </c>
      <c r="E53" s="23">
        <f t="shared" ca="1" si="1"/>
        <v>1</v>
      </c>
      <c r="F53" s="6" t="str">
        <f ca="1">IF($J$28&gt;Data!$L$30,"-",IF(D53&lt;=($J$28-$H$5),"-",IF(D53&gt;$J$28,"-",1)))</f>
        <v>-</v>
      </c>
      <c r="G53" s="23">
        <f t="shared" ca="1" si="2"/>
        <v>1</v>
      </c>
      <c r="H53" s="23">
        <f t="shared" ca="1" si="3"/>
        <v>1</v>
      </c>
      <c r="I53" s="28">
        <f t="shared" ca="1" si="4"/>
        <v>4</v>
      </c>
      <c r="J53" s="23" t="str">
        <f t="shared" ca="1" si="5"/>
        <v>-</v>
      </c>
      <c r="K53" s="6"/>
      <c r="L53" s="5"/>
      <c r="M53" s="28"/>
      <c r="N53" s="28">
        <f t="shared" ca="1" si="6"/>
        <v>7</v>
      </c>
      <c r="O53" s="23">
        <f t="shared" ca="1" si="7"/>
        <v>3</v>
      </c>
    </row>
    <row r="54" spans="4:15" x14ac:dyDescent="0.25">
      <c r="D54" s="28">
        <v>17</v>
      </c>
      <c r="E54" s="23">
        <f t="shared" ca="1" si="1"/>
        <v>1</v>
      </c>
      <c r="F54" s="6" t="str">
        <f ca="1">IF($J$28&gt;Data!$L$30,"-",IF(D54&lt;=($J$28-$H$5),"-",IF(D54&gt;$J$28,"-",1)))</f>
        <v>-</v>
      </c>
      <c r="G54" s="23">
        <f t="shared" ca="1" si="2"/>
        <v>1</v>
      </c>
      <c r="H54" s="23">
        <f t="shared" ca="1" si="3"/>
        <v>1</v>
      </c>
      <c r="I54" s="28">
        <f t="shared" ca="1" si="4"/>
        <v>4</v>
      </c>
      <c r="J54" s="23" t="str">
        <f t="shared" ca="1" si="5"/>
        <v>-</v>
      </c>
      <c r="K54" s="5"/>
      <c r="L54" s="23"/>
      <c r="M54" s="28"/>
      <c r="N54" s="28">
        <f t="shared" ca="1" si="6"/>
        <v>7</v>
      </c>
      <c r="O54" s="23">
        <f t="shared" ca="1" si="7"/>
        <v>3</v>
      </c>
    </row>
    <row r="55" spans="4:15" x14ac:dyDescent="0.25">
      <c r="D55" s="28">
        <v>18</v>
      </c>
      <c r="E55" s="23">
        <f t="shared" ca="1" si="1"/>
        <v>1</v>
      </c>
      <c r="F55" s="6" t="str">
        <f ca="1">IF($J$28&gt;Data!$L$30,"-",IF(D55&lt;=($J$28-$H$5),"-",IF(D55&gt;$J$28,"-",1)))</f>
        <v>-</v>
      </c>
      <c r="G55" s="23">
        <f t="shared" ca="1" si="2"/>
        <v>1</v>
      </c>
      <c r="H55" s="23">
        <f t="shared" ca="1" si="3"/>
        <v>1</v>
      </c>
      <c r="I55" s="28">
        <f t="shared" ca="1" si="4"/>
        <v>4</v>
      </c>
      <c r="J55" s="23" t="str">
        <f t="shared" ca="1" si="5"/>
        <v>-</v>
      </c>
      <c r="K55" s="5"/>
      <c r="L55" s="23"/>
      <c r="M55" s="28"/>
      <c r="N55" s="28">
        <f t="shared" ca="1" si="6"/>
        <v>7</v>
      </c>
      <c r="O55" s="23">
        <f t="shared" ca="1" si="7"/>
        <v>3</v>
      </c>
    </row>
    <row r="56" spans="4:15" x14ac:dyDescent="0.25">
      <c r="D56" s="28">
        <v>19</v>
      </c>
      <c r="E56" s="23">
        <f t="shared" ca="1" si="1"/>
        <v>1</v>
      </c>
      <c r="F56" s="6">
        <f ca="1">IF($J$28&gt;Data!$L$30,"-",IF(D56&lt;=($J$28-$H$5),"-",IF(D56&gt;$J$28,"-",1)))</f>
        <v>1</v>
      </c>
      <c r="G56" s="23">
        <f t="shared" ca="1" si="2"/>
        <v>1</v>
      </c>
      <c r="H56" s="23" t="str">
        <f t="shared" ca="1" si="3"/>
        <v>-</v>
      </c>
      <c r="I56" s="28">
        <f t="shared" ca="1" si="4"/>
        <v>4</v>
      </c>
      <c r="J56" s="23" t="str">
        <f t="shared" ca="1" si="5"/>
        <v>-</v>
      </c>
      <c r="K56" s="5"/>
      <c r="L56" s="23"/>
      <c r="M56" s="28"/>
      <c r="N56" s="28">
        <f t="shared" ca="1" si="6"/>
        <v>7</v>
      </c>
      <c r="O56" s="23">
        <f t="shared" ca="1" si="7"/>
        <v>3</v>
      </c>
    </row>
    <row r="57" spans="4:15" x14ac:dyDescent="0.25">
      <c r="D57" s="28">
        <v>20</v>
      </c>
      <c r="E57" s="23">
        <f t="shared" ca="1" si="1"/>
        <v>1</v>
      </c>
      <c r="F57" s="6">
        <f ca="1">IF($J$28&gt;Data!$L$30,"-",IF(D57&lt;=($J$28-$H$5),"-",IF(D57&gt;$J$28,"-",1)))</f>
        <v>1</v>
      </c>
      <c r="G57" s="23">
        <f t="shared" ca="1" si="2"/>
        <v>1</v>
      </c>
      <c r="H57" s="23" t="str">
        <f t="shared" ca="1" si="3"/>
        <v>-</v>
      </c>
      <c r="I57" s="28">
        <f t="shared" ca="1" si="4"/>
        <v>4</v>
      </c>
      <c r="J57" s="23" t="str">
        <f t="shared" ca="1" si="5"/>
        <v>-</v>
      </c>
      <c r="K57" s="5"/>
      <c r="L57" s="23"/>
      <c r="M57" s="28"/>
      <c r="N57" s="28">
        <f t="shared" ca="1" si="6"/>
        <v>7</v>
      </c>
      <c r="O57" s="23">
        <f t="shared" ca="1" si="7"/>
        <v>3</v>
      </c>
    </row>
    <row r="58" spans="4:15" x14ac:dyDescent="0.25">
      <c r="D58" s="28">
        <v>21</v>
      </c>
      <c r="E58" s="23">
        <f t="shared" ca="1" si="1"/>
        <v>1</v>
      </c>
      <c r="F58" s="6">
        <f ca="1">IF($J$28&gt;Data!$L$30,"-",IF(D58&lt;=($J$28-$H$5),"-",IF(D58&gt;$J$28,"-",1)))</f>
        <v>1</v>
      </c>
      <c r="G58" s="23">
        <f t="shared" ca="1" si="2"/>
        <v>1</v>
      </c>
      <c r="H58" s="23" t="str">
        <f t="shared" ca="1" si="3"/>
        <v>-</v>
      </c>
      <c r="I58" s="28">
        <f t="shared" ca="1" si="4"/>
        <v>4</v>
      </c>
      <c r="J58" s="23">
        <f t="shared" ca="1" si="5"/>
        <v>1</v>
      </c>
      <c r="K58" s="5"/>
      <c r="L58" s="23"/>
      <c r="M58" s="28"/>
      <c r="N58" s="28">
        <f t="shared" ca="1" si="6"/>
        <v>8</v>
      </c>
      <c r="O58" s="23">
        <f t="shared" ca="1" si="7"/>
        <v>3</v>
      </c>
    </row>
    <row r="59" spans="4:15" x14ac:dyDescent="0.25">
      <c r="D59" s="28">
        <v>22</v>
      </c>
      <c r="E59" s="23">
        <f t="shared" ca="1" si="1"/>
        <v>1</v>
      </c>
      <c r="F59" s="6">
        <f ca="1">IF($J$28&gt;Data!$L$30,"-",IF(D59&lt;=($J$28-$H$5),"-",IF(D59&gt;$J$28,"-",1)))</f>
        <v>1</v>
      </c>
      <c r="G59" s="23">
        <f t="shared" ca="1" si="2"/>
        <v>1</v>
      </c>
      <c r="H59" s="23" t="str">
        <f t="shared" ca="1" si="3"/>
        <v>-</v>
      </c>
      <c r="I59" s="28">
        <f t="shared" ca="1" si="4"/>
        <v>4</v>
      </c>
      <c r="J59" s="23">
        <f t="shared" ca="1" si="5"/>
        <v>1</v>
      </c>
      <c r="K59" s="5"/>
      <c r="L59" s="23"/>
      <c r="M59" s="28"/>
      <c r="N59" s="28">
        <f t="shared" ca="1" si="6"/>
        <v>8</v>
      </c>
      <c r="O59" s="23">
        <f t="shared" ca="1" si="7"/>
        <v>3</v>
      </c>
    </row>
    <row r="60" spans="4:15" x14ac:dyDescent="0.25">
      <c r="D60" s="28">
        <v>23</v>
      </c>
      <c r="E60" s="23" t="str">
        <f t="shared" ca="1" si="1"/>
        <v>-</v>
      </c>
      <c r="F60" s="6" t="str">
        <f ca="1">IF($J$28&gt;Data!$L$30,"-",IF(D60&lt;=($J$28-$H$5),"-",IF(D60&gt;$J$28,"-",1)))</f>
        <v>-</v>
      </c>
      <c r="G60" s="23" t="str">
        <f t="shared" ca="1" si="2"/>
        <v>-</v>
      </c>
      <c r="H60" s="23" t="str">
        <f t="shared" ca="1" si="3"/>
        <v>-</v>
      </c>
      <c r="I60" s="28" t="str">
        <f t="shared" ca="1" si="4"/>
        <v>-</v>
      </c>
      <c r="J60" s="23" t="str">
        <f t="shared" ca="1" si="5"/>
        <v>-</v>
      </c>
      <c r="K60" s="5"/>
      <c r="L60" s="23"/>
      <c r="M60" s="28"/>
      <c r="N60" s="28" t="str">
        <f t="shared" si="6"/>
        <v>-</v>
      </c>
      <c r="O60" s="23" t="str">
        <f t="shared" si="7"/>
        <v>-</v>
      </c>
    </row>
    <row r="61" spans="4:15" x14ac:dyDescent="0.25">
      <c r="D61" s="28">
        <v>24</v>
      </c>
      <c r="E61" s="23" t="str">
        <f t="shared" ca="1" si="1"/>
        <v>-</v>
      </c>
      <c r="F61" s="6" t="str">
        <f ca="1">IF($J$28&gt;Data!$L$30,"-",IF(D61&lt;=($J$28-$H$5),"-",IF(D61&gt;$J$28,"-",1)))</f>
        <v>-</v>
      </c>
      <c r="G61" s="23" t="str">
        <f t="shared" ca="1" si="2"/>
        <v>-</v>
      </c>
      <c r="H61" s="23" t="str">
        <f t="shared" ca="1" si="3"/>
        <v>-</v>
      </c>
      <c r="I61" s="28" t="str">
        <f t="shared" ca="1" si="4"/>
        <v>-</v>
      </c>
      <c r="J61" s="23" t="str">
        <f t="shared" ca="1" si="5"/>
        <v>-</v>
      </c>
      <c r="K61" s="5"/>
      <c r="L61" s="23"/>
      <c r="M61" s="28"/>
      <c r="N61" s="28" t="str">
        <f t="shared" si="6"/>
        <v>-</v>
      </c>
      <c r="O61" s="23" t="str">
        <f t="shared" si="7"/>
        <v>-</v>
      </c>
    </row>
    <row r="62" spans="4:15" x14ac:dyDescent="0.25">
      <c r="D62" s="28">
        <v>25</v>
      </c>
      <c r="E62" s="23" t="str">
        <f t="shared" ca="1" si="1"/>
        <v>-</v>
      </c>
      <c r="F62" s="6" t="str">
        <f ca="1">IF($J$28&gt;Data!$L$30,"-",IF(D62&lt;=($J$28-$H$5),"-",IF(D62&gt;$J$28,"-",1)))</f>
        <v>-</v>
      </c>
      <c r="G62" s="23" t="str">
        <f t="shared" ca="1" si="2"/>
        <v>-</v>
      </c>
      <c r="H62" s="23" t="str">
        <f t="shared" ca="1" si="3"/>
        <v>-</v>
      </c>
      <c r="I62" s="28" t="str">
        <f t="shared" ca="1" si="4"/>
        <v>-</v>
      </c>
      <c r="J62" s="23" t="str">
        <f t="shared" ca="1" si="5"/>
        <v>-</v>
      </c>
      <c r="K62" s="5"/>
      <c r="L62" s="23"/>
      <c r="M62" s="28"/>
      <c r="N62" s="28" t="str">
        <f t="shared" si="6"/>
        <v>-</v>
      </c>
      <c r="O62" s="23" t="str">
        <f t="shared" si="7"/>
        <v>-</v>
      </c>
    </row>
    <row r="63" spans="4:15" x14ac:dyDescent="0.25">
      <c r="D63" s="28">
        <v>26</v>
      </c>
      <c r="E63" s="23" t="str">
        <f t="shared" ca="1" si="1"/>
        <v>-</v>
      </c>
      <c r="F63" s="6" t="str">
        <f ca="1">IF($J$28&gt;Data!$L$30,"-",IF(D63&lt;=($J$28-$H$5),"-",IF(D63&gt;$J$28,"-",1)))</f>
        <v>-</v>
      </c>
      <c r="G63" s="23" t="str">
        <f t="shared" ca="1" si="2"/>
        <v>-</v>
      </c>
      <c r="H63" s="23" t="str">
        <f t="shared" ca="1" si="3"/>
        <v>-</v>
      </c>
      <c r="I63" s="28" t="str">
        <f t="shared" ca="1" si="4"/>
        <v>-</v>
      </c>
      <c r="J63" s="23" t="str">
        <f t="shared" ca="1" si="5"/>
        <v>-</v>
      </c>
      <c r="K63" s="5"/>
      <c r="L63" s="23"/>
      <c r="M63" s="28"/>
      <c r="N63" s="28" t="str">
        <f t="shared" si="6"/>
        <v>-</v>
      </c>
      <c r="O63" s="23" t="str">
        <f t="shared" si="7"/>
        <v>-</v>
      </c>
    </row>
    <row r="64" spans="4:15" x14ac:dyDescent="0.25">
      <c r="D64" s="28">
        <v>27</v>
      </c>
      <c r="E64" s="23" t="str">
        <f t="shared" ca="1" si="1"/>
        <v>-</v>
      </c>
      <c r="F64" s="6" t="str">
        <f ca="1">IF($J$28&gt;Data!$L$30,"-",IF(D64&lt;=($J$28-$H$5),"-",IF(D64&gt;$J$28,"-",1)))</f>
        <v>-</v>
      </c>
      <c r="G64" s="23" t="str">
        <f t="shared" ca="1" si="2"/>
        <v>-</v>
      </c>
      <c r="H64" s="23" t="str">
        <f t="shared" ca="1" si="3"/>
        <v>-</v>
      </c>
      <c r="I64" s="28" t="str">
        <f t="shared" ca="1" si="4"/>
        <v>-</v>
      </c>
      <c r="J64" s="23" t="str">
        <f t="shared" ca="1" si="5"/>
        <v>-</v>
      </c>
      <c r="K64" s="5"/>
      <c r="L64" s="23"/>
      <c r="M64" s="28"/>
      <c r="N64" s="28" t="str">
        <f t="shared" si="6"/>
        <v>-</v>
      </c>
      <c r="O64" s="23" t="str">
        <f t="shared" si="7"/>
        <v>-</v>
      </c>
    </row>
    <row r="65" spans="4:15" x14ac:dyDescent="0.25">
      <c r="D65" s="28">
        <v>28</v>
      </c>
      <c r="E65" s="23" t="str">
        <f t="shared" ca="1" si="1"/>
        <v>-</v>
      </c>
      <c r="F65" s="6" t="str">
        <f ca="1">IF($J$28&gt;Data!$L$30,"-",IF(D65&lt;=($J$28-$H$5),"-",IF(D65&gt;$J$28,"-",1)))</f>
        <v>-</v>
      </c>
      <c r="G65" s="23" t="str">
        <f t="shared" ca="1" si="2"/>
        <v>-</v>
      </c>
      <c r="H65" s="23" t="str">
        <f t="shared" ca="1" si="3"/>
        <v>-</v>
      </c>
      <c r="I65" s="28" t="str">
        <f t="shared" ca="1" si="4"/>
        <v>-</v>
      </c>
      <c r="J65" s="23" t="str">
        <f t="shared" ca="1" si="5"/>
        <v>-</v>
      </c>
      <c r="K65" s="5"/>
      <c r="L65" s="23"/>
      <c r="M65" s="28"/>
      <c r="N65" s="28" t="str">
        <f t="shared" si="6"/>
        <v>-</v>
      </c>
      <c r="O65" s="23" t="str">
        <f t="shared" si="7"/>
        <v>-</v>
      </c>
    </row>
    <row r="66" spans="4:15" x14ac:dyDescent="0.25">
      <c r="D66" s="28">
        <v>29</v>
      </c>
      <c r="E66" s="23" t="str">
        <f t="shared" ca="1" si="1"/>
        <v>-</v>
      </c>
      <c r="F66" s="6" t="str">
        <f ca="1">IF($J$28&gt;Data!$L$30,"-",IF(D66&lt;=($J$28-$H$5),"-",IF(D66&gt;$J$28,"-",1)))</f>
        <v>-</v>
      </c>
      <c r="G66" s="23" t="str">
        <f t="shared" ca="1" si="2"/>
        <v>-</v>
      </c>
      <c r="H66" s="23" t="str">
        <f t="shared" ca="1" si="3"/>
        <v>-</v>
      </c>
      <c r="I66" s="28" t="str">
        <f t="shared" ca="1" si="4"/>
        <v>-</v>
      </c>
      <c r="J66" s="23" t="str">
        <f t="shared" ca="1" si="5"/>
        <v>-</v>
      </c>
      <c r="K66" s="5"/>
      <c r="L66" s="23"/>
      <c r="M66" s="28"/>
      <c r="N66" s="28" t="str">
        <f t="shared" si="6"/>
        <v>-</v>
      </c>
      <c r="O66" s="23" t="str">
        <f t="shared" si="7"/>
        <v>-</v>
      </c>
    </row>
    <row r="67" spans="4:15" x14ac:dyDescent="0.25">
      <c r="D67" s="29">
        <v>30</v>
      </c>
      <c r="E67" s="24" t="str">
        <f t="shared" ca="1" si="1"/>
        <v>-</v>
      </c>
      <c r="F67" s="8" t="str">
        <f ca="1">IF($J$28&gt;Data!$L$30,"-",IF(D67&lt;=($J$28-$H$5),"-",IF(D67&gt;$J$28,"-",1)))</f>
        <v>-</v>
      </c>
      <c r="G67" s="24" t="str">
        <f t="shared" ca="1" si="2"/>
        <v>-</v>
      </c>
      <c r="H67" s="24" t="str">
        <f t="shared" ca="1" si="3"/>
        <v>-</v>
      </c>
      <c r="I67" s="29" t="str">
        <f t="shared" ca="1" si="4"/>
        <v>-</v>
      </c>
      <c r="J67" s="24" t="str">
        <f t="shared" ca="1" si="5"/>
        <v>-</v>
      </c>
      <c r="K67" s="7"/>
      <c r="L67" s="24"/>
      <c r="M67" s="29"/>
      <c r="N67" s="29" t="str">
        <f t="shared" si="6"/>
        <v>-</v>
      </c>
      <c r="O67" s="24" t="str">
        <f t="shared" si="7"/>
        <v>-</v>
      </c>
    </row>
    <row r="68" spans="4:15" x14ac:dyDescent="0.25">
      <c r="D68" s="16" t="s">
        <v>17</v>
      </c>
      <c r="E68"/>
      <c r="F68" s="17">
        <f ca="1">SUM(E38:E67)+SUM(F38:F67)</f>
        <v>26</v>
      </c>
      <c r="G68" s="2"/>
      <c r="H68" s="17">
        <f ca="1">SUM(G38:G67)+SUM(H38:H67)</f>
        <v>26</v>
      </c>
      <c r="I68" s="2"/>
      <c r="J68" s="2"/>
      <c r="K68" s="17">
        <f ca="1">SUM(J38:J67)+SUM(K38:K67)+SUM(I38:I67)</f>
        <v>104</v>
      </c>
      <c r="L68" s="2"/>
      <c r="M68" s="2"/>
    </row>
    <row r="69" spans="4:15" x14ac:dyDescent="0.25">
      <c r="D69"/>
      <c r="E69"/>
    </row>
    <row r="89" spans="3:5" x14ac:dyDescent="0.25">
      <c r="C89" s="2"/>
      <c r="E89"/>
    </row>
    <row r="90" spans="3:5" x14ac:dyDescent="0.25">
      <c r="C90" s="2"/>
      <c r="E90"/>
    </row>
    <row r="91" spans="3:5" x14ac:dyDescent="0.25">
      <c r="C91" s="2"/>
      <c r="E91"/>
    </row>
    <row r="92" spans="3:5" x14ac:dyDescent="0.25">
      <c r="C92" s="2"/>
      <c r="E92"/>
    </row>
    <row r="93" spans="3:5" x14ac:dyDescent="0.25">
      <c r="C93" s="2"/>
      <c r="E93"/>
    </row>
    <row r="94" spans="3:5" x14ac:dyDescent="0.25">
      <c r="C94" s="2"/>
      <c r="E94"/>
    </row>
    <row r="95" spans="3:5" x14ac:dyDescent="0.25">
      <c r="C95" s="2"/>
      <c r="E95"/>
    </row>
    <row r="96" spans="3:5" x14ac:dyDescent="0.25">
      <c r="C96" s="2"/>
      <c r="E96"/>
    </row>
    <row r="97" spans="3:5" x14ac:dyDescent="0.25">
      <c r="C97" s="2"/>
      <c r="E97"/>
    </row>
    <row r="98" spans="3:5" x14ac:dyDescent="0.25">
      <c r="C98" s="2"/>
      <c r="E98"/>
    </row>
    <row r="99" spans="3:5" x14ac:dyDescent="0.25">
      <c r="C99" s="2"/>
      <c r="E99"/>
    </row>
    <row r="100" spans="3:5" x14ac:dyDescent="0.25">
      <c r="C100" s="2"/>
      <c r="E100"/>
    </row>
    <row r="101" spans="3:5" x14ac:dyDescent="0.25">
      <c r="C101" s="2"/>
      <c r="E101"/>
    </row>
    <row r="102" spans="3:5" x14ac:dyDescent="0.25">
      <c r="C102" s="2"/>
      <c r="E102"/>
    </row>
    <row r="103" spans="3:5" x14ac:dyDescent="0.25">
      <c r="C103" s="2"/>
      <c r="E103"/>
    </row>
    <row r="104" spans="3:5" x14ac:dyDescent="0.25">
      <c r="C104" s="2"/>
      <c r="E104"/>
    </row>
    <row r="105" spans="3:5" x14ac:dyDescent="0.25">
      <c r="C105" s="2"/>
      <c r="E105"/>
    </row>
    <row r="106" spans="3:5" x14ac:dyDescent="0.25">
      <c r="C106" s="2"/>
      <c r="E106"/>
    </row>
    <row r="107" spans="3:5" x14ac:dyDescent="0.25">
      <c r="C107" s="2"/>
      <c r="E107"/>
    </row>
    <row r="108" spans="3:5" x14ac:dyDescent="0.25">
      <c r="C108" s="2"/>
      <c r="E108"/>
    </row>
    <row r="109" spans="3:5" x14ac:dyDescent="0.25">
      <c r="C109" s="2"/>
      <c r="E109"/>
    </row>
    <row r="110" spans="3:5" x14ac:dyDescent="0.25">
      <c r="C110" s="2"/>
      <c r="E110"/>
    </row>
    <row r="111" spans="3:5" x14ac:dyDescent="0.25">
      <c r="C111" s="2"/>
      <c r="E111"/>
    </row>
    <row r="112" spans="3:5" x14ac:dyDescent="0.25">
      <c r="C112" s="2"/>
      <c r="E112"/>
    </row>
    <row r="113" spans="3:5" x14ac:dyDescent="0.25">
      <c r="C113" s="2"/>
      <c r="E113"/>
    </row>
    <row r="114" spans="3:5" x14ac:dyDescent="0.25">
      <c r="C114" s="2"/>
      <c r="E114"/>
    </row>
    <row r="115" spans="3:5" x14ac:dyDescent="0.25">
      <c r="C115" s="2"/>
      <c r="E115"/>
    </row>
    <row r="116" spans="3:5" x14ac:dyDescent="0.25">
      <c r="C116" s="2"/>
      <c r="E116"/>
    </row>
    <row r="117" spans="3:5" x14ac:dyDescent="0.25">
      <c r="C117" s="2"/>
      <c r="E117"/>
    </row>
    <row r="118" spans="3:5" x14ac:dyDescent="0.25">
      <c r="C118" s="2"/>
      <c r="E118"/>
    </row>
    <row r="119" spans="3:5" x14ac:dyDescent="0.25">
      <c r="C119" s="2"/>
      <c r="E119"/>
    </row>
    <row r="120" spans="3:5" x14ac:dyDescent="0.25">
      <c r="C120" s="2"/>
      <c r="E120"/>
    </row>
    <row r="121" spans="3:5" x14ac:dyDescent="0.25">
      <c r="C121" s="2"/>
      <c r="E121"/>
    </row>
    <row r="122" spans="3:5" x14ac:dyDescent="0.25">
      <c r="C122" s="2"/>
      <c r="E122"/>
    </row>
    <row r="123" spans="3:5" x14ac:dyDescent="0.25">
      <c r="C123" s="2"/>
      <c r="E123"/>
    </row>
    <row r="124" spans="3:5" x14ac:dyDescent="0.25">
      <c r="C124" s="2"/>
      <c r="E124"/>
    </row>
    <row r="125" spans="3:5" x14ac:dyDescent="0.25">
      <c r="C125" s="2"/>
      <c r="E125"/>
    </row>
    <row r="126" spans="3:5" x14ac:dyDescent="0.25">
      <c r="C126" s="2"/>
      <c r="E126"/>
    </row>
    <row r="127" spans="3:5" x14ac:dyDescent="0.25">
      <c r="C127" s="2"/>
      <c r="E127"/>
    </row>
    <row r="128" spans="3:5" x14ac:dyDescent="0.25">
      <c r="C128" s="2"/>
      <c r="E128"/>
    </row>
    <row r="129" spans="3:5" x14ac:dyDescent="0.25">
      <c r="C129" s="2"/>
      <c r="E129"/>
    </row>
    <row r="130" spans="3:5" x14ac:dyDescent="0.25">
      <c r="C130" s="2"/>
      <c r="E130"/>
    </row>
    <row r="131" spans="3:5" x14ac:dyDescent="0.25">
      <c r="C131" s="2"/>
      <c r="E131"/>
    </row>
    <row r="132" spans="3:5" x14ac:dyDescent="0.25">
      <c r="C132" s="2"/>
      <c r="E132"/>
    </row>
    <row r="133" spans="3:5" x14ac:dyDescent="0.25">
      <c r="C133" s="2"/>
      <c r="E133"/>
    </row>
    <row r="134" spans="3:5" x14ac:dyDescent="0.25">
      <c r="C134" s="2"/>
      <c r="E134"/>
    </row>
    <row r="135" spans="3:5" x14ac:dyDescent="0.25">
      <c r="C135" s="2"/>
      <c r="E135"/>
    </row>
    <row r="136" spans="3:5" x14ac:dyDescent="0.25">
      <c r="C136" s="2"/>
      <c r="E136"/>
    </row>
    <row r="137" spans="3:5" x14ac:dyDescent="0.25">
      <c r="C137" s="2"/>
      <c r="E137"/>
    </row>
    <row r="138" spans="3:5" x14ac:dyDescent="0.25">
      <c r="C138" s="2"/>
      <c r="E138"/>
    </row>
    <row r="139" spans="3:5" x14ac:dyDescent="0.25">
      <c r="C139" s="2"/>
      <c r="E139"/>
    </row>
    <row r="140" spans="3:5" x14ac:dyDescent="0.25">
      <c r="C140" s="2"/>
      <c r="E140"/>
    </row>
    <row r="141" spans="3:5" x14ac:dyDescent="0.25">
      <c r="C141" s="2"/>
      <c r="E141"/>
    </row>
    <row r="142" spans="3:5" x14ac:dyDescent="0.25">
      <c r="C142" s="2"/>
      <c r="E142"/>
    </row>
    <row r="143" spans="3:5" x14ac:dyDescent="0.25">
      <c r="C143" s="2"/>
      <c r="E143"/>
    </row>
    <row r="144" spans="3:5" x14ac:dyDescent="0.25">
      <c r="C144" s="2"/>
      <c r="E144"/>
    </row>
    <row r="145" spans="3:5" x14ac:dyDescent="0.25">
      <c r="C145" s="2"/>
      <c r="E145"/>
    </row>
    <row r="146" spans="3:5" x14ac:dyDescent="0.25">
      <c r="C146" s="2"/>
      <c r="E146"/>
    </row>
    <row r="147" spans="3:5" x14ac:dyDescent="0.25">
      <c r="C147" s="2"/>
      <c r="E147"/>
    </row>
    <row r="148" spans="3:5" x14ac:dyDescent="0.25">
      <c r="C148" s="2"/>
      <c r="E148"/>
    </row>
    <row r="149" spans="3:5" x14ac:dyDescent="0.25">
      <c r="C149" s="2"/>
      <c r="E149"/>
    </row>
    <row r="150" spans="3:5" x14ac:dyDescent="0.25">
      <c r="C150" s="2"/>
      <c r="E150"/>
    </row>
    <row r="151" spans="3:5" x14ac:dyDescent="0.25">
      <c r="C151" s="2"/>
      <c r="E151"/>
    </row>
    <row r="152" spans="3:5" x14ac:dyDescent="0.25">
      <c r="C152" s="2"/>
      <c r="E152"/>
    </row>
    <row r="153" spans="3:5" x14ac:dyDescent="0.25">
      <c r="C153" s="2"/>
      <c r="E153"/>
    </row>
    <row r="154" spans="3:5" x14ac:dyDescent="0.25">
      <c r="C154" s="2"/>
      <c r="E154"/>
    </row>
    <row r="155" spans="3:5" x14ac:dyDescent="0.25">
      <c r="C155" s="2"/>
      <c r="E155"/>
    </row>
    <row r="156" spans="3:5" x14ac:dyDescent="0.25">
      <c r="C156" s="2"/>
      <c r="E156"/>
    </row>
    <row r="157" spans="3:5" x14ac:dyDescent="0.25">
      <c r="C157" s="2"/>
      <c r="E157"/>
    </row>
    <row r="158" spans="3:5" x14ac:dyDescent="0.25">
      <c r="C158" s="2"/>
      <c r="E158"/>
    </row>
    <row r="159" spans="3:5" x14ac:dyDescent="0.25">
      <c r="C159" s="2"/>
      <c r="E159"/>
    </row>
    <row r="160" spans="3:5" x14ac:dyDescent="0.25">
      <c r="C160" s="2"/>
      <c r="E160"/>
    </row>
  </sheetData>
  <mergeCells count="3">
    <mergeCell ref="I36:M36"/>
    <mergeCell ref="G36:H36"/>
    <mergeCell ref="E36:F36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7"/>
  <sheetViews>
    <sheetView topLeftCell="B1" workbookViewId="0">
      <selection activeCell="C1" sqref="C1:I1"/>
    </sheetView>
  </sheetViews>
  <sheetFormatPr defaultRowHeight="15" x14ac:dyDescent="0.25"/>
  <cols>
    <col min="1" max="1" width="18.42578125" customWidth="1"/>
    <col min="2" max="2" width="10.5703125" customWidth="1"/>
  </cols>
  <sheetData>
    <row r="1" spans="1:8" x14ac:dyDescent="0.25">
      <c r="A1" s="16" t="s">
        <v>18</v>
      </c>
    </row>
    <row r="3" spans="1:8" x14ac:dyDescent="0.25">
      <c r="A3" s="16" t="s">
        <v>19</v>
      </c>
    </row>
    <row r="4" spans="1:8" x14ac:dyDescent="0.25">
      <c r="A4" s="16" t="s">
        <v>20</v>
      </c>
    </row>
    <row r="5" spans="1:8" x14ac:dyDescent="0.25">
      <c r="B5" t="s">
        <v>51</v>
      </c>
    </row>
    <row r="6" spans="1:8" x14ac:dyDescent="0.25">
      <c r="A6" s="16" t="s">
        <v>21</v>
      </c>
    </row>
    <row r="7" spans="1:8" x14ac:dyDescent="0.25">
      <c r="C7" t="s">
        <v>0</v>
      </c>
      <c r="E7" t="s">
        <v>52</v>
      </c>
      <c r="G7" t="s">
        <v>16</v>
      </c>
    </row>
    <row r="8" spans="1:8" x14ac:dyDescent="0.25">
      <c r="C8" s="66"/>
      <c r="D8" s="58"/>
      <c r="E8" s="70"/>
      <c r="F8" s="61"/>
      <c r="G8" s="77"/>
      <c r="H8" s="81"/>
    </row>
    <row r="9" spans="1:8" x14ac:dyDescent="0.25">
      <c r="C9" s="67"/>
      <c r="D9" s="60"/>
      <c r="E9" s="69"/>
      <c r="F9" s="62"/>
      <c r="G9" s="78"/>
      <c r="H9" s="82"/>
    </row>
    <row r="10" spans="1:8" x14ac:dyDescent="0.25">
      <c r="C10" s="67"/>
      <c r="D10" s="60"/>
      <c r="E10" s="69"/>
      <c r="F10" s="62"/>
      <c r="G10" s="78"/>
      <c r="H10" s="82"/>
    </row>
    <row r="11" spans="1:8" x14ac:dyDescent="0.25">
      <c r="C11" s="67"/>
      <c r="D11" s="60"/>
      <c r="E11" s="69"/>
      <c r="F11" s="62"/>
      <c r="G11" s="78"/>
      <c r="H11" s="82"/>
    </row>
    <row r="12" spans="1:8" x14ac:dyDescent="0.25">
      <c r="C12" s="67"/>
      <c r="D12" s="60"/>
      <c r="E12" s="69"/>
      <c r="F12" s="62"/>
      <c r="G12" s="78"/>
      <c r="H12" s="82"/>
    </row>
    <row r="13" spans="1:8" x14ac:dyDescent="0.25">
      <c r="C13" s="67"/>
      <c r="D13" s="60"/>
      <c r="E13" s="69"/>
      <c r="F13" s="62"/>
      <c r="G13" s="93"/>
      <c r="H13" s="84"/>
    </row>
    <row r="14" spans="1:8" x14ac:dyDescent="0.25">
      <c r="C14" s="67"/>
      <c r="D14" s="60"/>
      <c r="E14" s="69"/>
      <c r="F14" s="62"/>
      <c r="G14" s="93"/>
      <c r="H14" s="85"/>
    </row>
    <row r="15" spans="1:8" x14ac:dyDescent="0.25">
      <c r="C15" s="67"/>
      <c r="D15" s="60"/>
      <c r="E15" s="69"/>
      <c r="F15" s="62"/>
      <c r="G15" s="93"/>
      <c r="H15" s="85"/>
    </row>
    <row r="16" spans="1:8" x14ac:dyDescent="0.25">
      <c r="C16" s="67"/>
      <c r="D16" s="60"/>
      <c r="E16" s="69"/>
      <c r="F16" s="62"/>
      <c r="G16" s="93"/>
      <c r="H16" s="85"/>
    </row>
    <row r="17" spans="3:8" x14ac:dyDescent="0.25">
      <c r="C17" s="67"/>
      <c r="D17" s="60"/>
      <c r="E17" s="69"/>
      <c r="F17" s="87"/>
      <c r="G17" s="93"/>
      <c r="H17" s="85"/>
    </row>
    <row r="18" spans="3:8" x14ac:dyDescent="0.25">
      <c r="C18" s="67"/>
      <c r="D18" s="60"/>
      <c r="E18" s="69"/>
      <c r="F18" s="75"/>
      <c r="G18" s="93"/>
      <c r="H18" s="86"/>
    </row>
    <row r="19" spans="3:8" x14ac:dyDescent="0.25">
      <c r="C19" s="67"/>
      <c r="D19" s="60"/>
      <c r="E19" s="69"/>
      <c r="F19" s="75"/>
      <c r="G19" s="78"/>
      <c r="H19" s="94"/>
    </row>
    <row r="20" spans="3:8" x14ac:dyDescent="0.25">
      <c r="C20" s="67"/>
      <c r="D20" s="60"/>
      <c r="E20" s="69"/>
      <c r="F20" s="88"/>
      <c r="G20" s="78"/>
      <c r="H20" s="94"/>
    </row>
    <row r="21" spans="3:8" x14ac:dyDescent="0.25">
      <c r="C21" s="67"/>
      <c r="D21" s="63"/>
      <c r="E21" s="69"/>
      <c r="F21" s="62"/>
      <c r="G21" s="78"/>
      <c r="H21" s="94"/>
    </row>
    <row r="22" spans="3:8" x14ac:dyDescent="0.25">
      <c r="C22" s="67"/>
      <c r="D22" s="64"/>
      <c r="E22" s="69"/>
      <c r="F22" s="62"/>
      <c r="G22" s="78"/>
      <c r="H22" s="94"/>
    </row>
    <row r="23" spans="3:8" x14ac:dyDescent="0.25">
      <c r="C23" s="67"/>
      <c r="D23" s="64"/>
      <c r="E23" s="69"/>
      <c r="F23" s="91"/>
      <c r="G23" s="78"/>
      <c r="H23" s="94"/>
    </row>
    <row r="24" spans="3:8" x14ac:dyDescent="0.25">
      <c r="C24" s="68"/>
      <c r="D24" s="65"/>
      <c r="E24" s="71"/>
      <c r="F24" s="90"/>
      <c r="G24" s="79"/>
      <c r="H24" s="95"/>
    </row>
    <row r="26" spans="3:8" x14ac:dyDescent="0.25">
      <c r="C26" t="s">
        <v>72</v>
      </c>
      <c r="D26" t="s">
        <v>73</v>
      </c>
    </row>
    <row r="27" spans="3:8" x14ac:dyDescent="0.25">
      <c r="D27" t="s">
        <v>74</v>
      </c>
    </row>
    <row r="28" spans="3:8" x14ac:dyDescent="0.25">
      <c r="D28" t="s">
        <v>75</v>
      </c>
    </row>
    <row r="29" spans="3:8" x14ac:dyDescent="0.25">
      <c r="D29" t="s">
        <v>76</v>
      </c>
    </row>
    <row r="30" spans="3:8" x14ac:dyDescent="0.25">
      <c r="D30" t="s">
        <v>77</v>
      </c>
    </row>
    <row r="33" spans="3:13" x14ac:dyDescent="0.25">
      <c r="C33" s="72"/>
      <c r="D33" t="s">
        <v>53</v>
      </c>
    </row>
    <row r="34" spans="3:13" x14ac:dyDescent="0.25">
      <c r="C34" s="73"/>
      <c r="D34" t="s">
        <v>56</v>
      </c>
    </row>
    <row r="35" spans="3:13" x14ac:dyDescent="0.25">
      <c r="C35" s="74"/>
      <c r="D35" t="s">
        <v>55</v>
      </c>
    </row>
    <row r="36" spans="3:13" x14ac:dyDescent="0.25">
      <c r="C36" s="76"/>
      <c r="D36" t="s">
        <v>57</v>
      </c>
    </row>
    <row r="37" spans="3:13" x14ac:dyDescent="0.25">
      <c r="C37" s="80"/>
      <c r="D37" t="s">
        <v>54</v>
      </c>
    </row>
    <row r="38" spans="3:13" x14ac:dyDescent="0.25">
      <c r="C38" s="83"/>
      <c r="D38" t="s">
        <v>58</v>
      </c>
    </row>
    <row r="39" spans="3:13" x14ac:dyDescent="0.25">
      <c r="C39" s="89"/>
      <c r="D39" t="s">
        <v>59</v>
      </c>
    </row>
    <row r="40" spans="3:13" x14ac:dyDescent="0.25">
      <c r="C40" s="92"/>
      <c r="D40" t="s">
        <v>78</v>
      </c>
      <c r="K40" s="73"/>
      <c r="L40" s="2" t="s">
        <v>60</v>
      </c>
      <c r="M40" s="76"/>
    </row>
    <row r="41" spans="3:13" x14ac:dyDescent="0.25">
      <c r="D41" t="s">
        <v>61</v>
      </c>
    </row>
    <row r="42" spans="3:13" x14ac:dyDescent="0.25">
      <c r="E42" t="s">
        <v>62</v>
      </c>
      <c r="F42" s="36" t="s">
        <v>21</v>
      </c>
      <c r="I42">
        <v>17</v>
      </c>
    </row>
    <row r="43" spans="3:13" x14ac:dyDescent="0.25">
      <c r="F43" s="36" t="s">
        <v>63</v>
      </c>
      <c r="I43">
        <v>10</v>
      </c>
      <c r="J43" t="s">
        <v>64</v>
      </c>
      <c r="K43" s="73"/>
      <c r="L43" t="s">
        <v>65</v>
      </c>
    </row>
    <row r="44" spans="3:13" x14ac:dyDescent="0.25">
      <c r="F44" s="36" t="s">
        <v>66</v>
      </c>
      <c r="I44">
        <v>10</v>
      </c>
      <c r="J44" t="s">
        <v>67</v>
      </c>
      <c r="L44" s="76"/>
    </row>
    <row r="45" spans="3:13" x14ac:dyDescent="0.25">
      <c r="J45" t="s">
        <v>68</v>
      </c>
      <c r="L45" s="92"/>
      <c r="M45" t="s">
        <v>69</v>
      </c>
    </row>
    <row r="47" spans="3:13" x14ac:dyDescent="0.25">
      <c r="C47" s="96"/>
      <c r="D47" t="s">
        <v>70</v>
      </c>
      <c r="F47" s="92"/>
      <c r="G47" t="s">
        <v>71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Employee View</vt:lpstr>
      <vt:lpstr>Data</vt:lpstr>
      <vt:lpstr>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Dwayne Desmarais</dc:creator>
  <cp:lastModifiedBy>Dwayne</cp:lastModifiedBy>
  <dcterms:created xsi:type="dcterms:W3CDTF">2017-03-17T18:40:43Z</dcterms:created>
  <dcterms:modified xsi:type="dcterms:W3CDTF">2017-06-05T02:44:37Z</dcterms:modified>
</cp:coreProperties>
</file>